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hp\OneDrive\Desktop\Nirav\"/>
    </mc:Choice>
  </mc:AlternateContent>
  <xr:revisionPtr revIDLastSave="0" documentId="13_ncr:1_{D86CBCFE-BFA4-402E-8EDC-B27954E818F7}" xr6:coauthVersionLast="47" xr6:coauthVersionMax="47" xr10:uidLastSave="{00000000-0000-0000-0000-000000000000}"/>
  <bookViews>
    <workbookView xWindow="8440" yWindow="690" windowWidth="11340" windowHeight="10060" xr2:uid="{FD08DA7F-A2B1-42D3-90B3-35BD0B757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76" i="1" l="1"/>
  <c r="P75" i="1"/>
  <c r="P74" i="1"/>
  <c r="P73" i="1"/>
  <c r="P72" i="1"/>
  <c r="P71" i="1"/>
  <c r="P83" i="1"/>
  <c r="P82" i="1"/>
  <c r="P81" i="1"/>
  <c r="P80" i="1"/>
  <c r="P79" i="1"/>
  <c r="P78" i="1"/>
  <c r="P77" i="1"/>
  <c r="P70" i="1"/>
  <c r="P69" i="1"/>
  <c r="P22" i="1"/>
  <c r="P21" i="1"/>
  <c r="P19" i="1"/>
  <c r="P20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12" i="1"/>
  <c r="P13" i="1"/>
  <c r="P14" i="1"/>
  <c r="P15" i="1"/>
  <c r="P16" i="1"/>
  <c r="P17" i="1"/>
  <c r="P18" i="1"/>
  <c r="P23" i="1"/>
  <c r="P11" i="1"/>
  <c r="P10" i="1"/>
</calcChain>
</file>

<file path=xl/sharedStrings.xml><?xml version="1.0" encoding="utf-8"?>
<sst xmlns="http://schemas.openxmlformats.org/spreadsheetml/2006/main" count="105" uniqueCount="101">
  <si>
    <t>Running Cost Calculator</t>
  </si>
  <si>
    <t>Select Model</t>
  </si>
  <si>
    <t>Select Company</t>
  </si>
  <si>
    <t>Tork</t>
  </si>
  <si>
    <t>Kratos</t>
  </si>
  <si>
    <t>Electricity Price/unit</t>
  </si>
  <si>
    <t>Battery Capacity/kwh</t>
  </si>
  <si>
    <t>Range/km</t>
  </si>
  <si>
    <t>Total Running Cost per kilometer/Rs.</t>
  </si>
  <si>
    <t>Okinawa</t>
  </si>
  <si>
    <t>Ridge</t>
  </si>
  <si>
    <t>iPraise+</t>
  </si>
  <si>
    <t>Praise Pro</t>
  </si>
  <si>
    <t>Lite</t>
  </si>
  <si>
    <t>R30</t>
  </si>
  <si>
    <t>Revolts Motors</t>
  </si>
  <si>
    <t>RV400</t>
  </si>
  <si>
    <t>Avera</t>
  </si>
  <si>
    <t>Retrosa</t>
  </si>
  <si>
    <t>PURE EV</t>
  </si>
  <si>
    <t>Epluto 7G</t>
  </si>
  <si>
    <t>Etrance Neo</t>
  </si>
  <si>
    <t>Kabira Mobility</t>
  </si>
  <si>
    <t>KM 3000</t>
  </si>
  <si>
    <t>KM 4000</t>
  </si>
  <si>
    <t>Ola Electric</t>
  </si>
  <si>
    <t>S1</t>
  </si>
  <si>
    <t>S1 Pro</t>
  </si>
  <si>
    <t>Bgauss</t>
  </si>
  <si>
    <t>B8</t>
  </si>
  <si>
    <t>A2</t>
  </si>
  <si>
    <t>Simple Energy</t>
  </si>
  <si>
    <t>One</t>
  </si>
  <si>
    <t>White Carbon Motors</t>
  </si>
  <si>
    <t>O3</t>
  </si>
  <si>
    <t>GT5</t>
  </si>
  <si>
    <t>Hop Electric</t>
  </si>
  <si>
    <t>LYF</t>
  </si>
  <si>
    <t>LEO</t>
  </si>
  <si>
    <t>One Electric Motorcycles</t>
  </si>
  <si>
    <t>Kridn</t>
  </si>
  <si>
    <t>Rugged</t>
  </si>
  <si>
    <t>G1</t>
  </si>
  <si>
    <t>Cyborg</t>
  </si>
  <si>
    <t>Bob-e</t>
  </si>
  <si>
    <t>Yoda</t>
  </si>
  <si>
    <t>Tvs</t>
  </si>
  <si>
    <t>Iqube</t>
  </si>
  <si>
    <t>ATHER Energy</t>
  </si>
  <si>
    <t>450X</t>
  </si>
  <si>
    <t>450 Plus</t>
  </si>
  <si>
    <t xml:space="preserve">Bajaj </t>
  </si>
  <si>
    <t>Chetak Urban</t>
  </si>
  <si>
    <t>Chetak Premium</t>
  </si>
  <si>
    <t>Hero electric</t>
  </si>
  <si>
    <t>Optima LX(VRLA)</t>
  </si>
  <si>
    <t>Optima HX(Single Battery)</t>
  </si>
  <si>
    <t>Optima HX(Dual Battery)</t>
  </si>
  <si>
    <t>Optima LX</t>
  </si>
  <si>
    <t>Atria LX</t>
  </si>
  <si>
    <t>Photon HX</t>
  </si>
  <si>
    <t>NYX LX</t>
  </si>
  <si>
    <t>NYX HX (Dual Battery)</t>
  </si>
  <si>
    <t>Flash LX VRLA</t>
  </si>
  <si>
    <t xml:space="preserve">Flash LX </t>
  </si>
  <si>
    <t>Dash</t>
  </si>
  <si>
    <t>Bounce</t>
  </si>
  <si>
    <t xml:space="preserve">Infinity E1 </t>
  </si>
  <si>
    <t>Ampere</t>
  </si>
  <si>
    <t>Magnus 60</t>
  </si>
  <si>
    <t>Magnus Ex</t>
  </si>
  <si>
    <t>Magnus Pro</t>
  </si>
  <si>
    <t>Reo LA</t>
  </si>
  <si>
    <t>Reo Li</t>
  </si>
  <si>
    <t>Reo Plus LA</t>
  </si>
  <si>
    <t>Reo Plus Li</t>
  </si>
  <si>
    <t>V 48 LA</t>
  </si>
  <si>
    <t>Zeal EX</t>
  </si>
  <si>
    <t>Zeal STD</t>
  </si>
  <si>
    <t>Reo Elite LA</t>
  </si>
  <si>
    <t>Reo Elite LI</t>
  </si>
  <si>
    <t>Komaki</t>
  </si>
  <si>
    <t>Ranger STD</t>
  </si>
  <si>
    <t>Epluto</t>
  </si>
  <si>
    <t>Etrance Plus</t>
  </si>
  <si>
    <t>Etrance STD</t>
  </si>
  <si>
    <t>Etron Plus STD</t>
  </si>
  <si>
    <t>Gravton Motors</t>
  </si>
  <si>
    <t>Quanta STD</t>
  </si>
  <si>
    <t>Odysse Electric</t>
  </si>
  <si>
    <t>Evoqis STD</t>
  </si>
  <si>
    <t xml:space="preserve">Benling </t>
  </si>
  <si>
    <t>Falcon LA</t>
  </si>
  <si>
    <t>Falcon LI</t>
  </si>
  <si>
    <t>Kriti LA</t>
  </si>
  <si>
    <t>Kriti LI</t>
  </si>
  <si>
    <t>Icon LA</t>
  </si>
  <si>
    <t>Icon LI</t>
  </si>
  <si>
    <t>Aura LI</t>
  </si>
  <si>
    <t>Racer STD</t>
  </si>
  <si>
    <t>Racer 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</si>
</sst>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4639-367C-494D-8DE8-A90570229BDF}">
  <dimension ref="A1:T112"/>
  <sheetViews>
    <sheetView tabSelected="1" topLeftCell="E52" workbookViewId="0">
      <selection activeCell="E29" sqref="E29:G29"/>
    </sheetView>
  </sheetViews>
  <sheetFormatPr defaultRowHeight="14.5" x14ac:dyDescent="0.35"/>
  <sheetData>
    <row r="1" spans="1:20" ht="14.4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20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20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20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0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8" spans="1:20" ht="20.399999999999999" customHeight="1" x14ac:dyDescent="0.45">
      <c r="A8" s="10" t="s">
        <v>2</v>
      </c>
      <c r="B8" s="11"/>
      <c r="C8" s="11"/>
      <c r="D8" s="11"/>
      <c r="E8" s="10" t="s">
        <v>1</v>
      </c>
      <c r="F8" s="11"/>
      <c r="G8" s="11"/>
      <c r="H8" s="13" t="s">
        <v>5</v>
      </c>
      <c r="I8" s="14"/>
      <c r="J8" s="14"/>
      <c r="K8" s="10" t="s">
        <v>6</v>
      </c>
      <c r="L8" s="11"/>
      <c r="M8" s="11"/>
      <c r="N8" s="10" t="s">
        <v>7</v>
      </c>
      <c r="O8" s="11"/>
      <c r="P8" s="10" t="s">
        <v>8</v>
      </c>
      <c r="Q8" s="11"/>
      <c r="R8" s="11"/>
      <c r="S8" s="11"/>
      <c r="T8" s="11"/>
    </row>
    <row r="9" spans="1:20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15.5" x14ac:dyDescent="0.35">
      <c r="A10" s="6" t="s">
        <v>3</v>
      </c>
      <c r="B10" s="6"/>
      <c r="C10" s="6"/>
      <c r="D10" s="6"/>
      <c r="E10" s="7" t="s">
        <v>4</v>
      </c>
      <c r="F10" s="7"/>
      <c r="G10" s="7"/>
      <c r="H10" s="7">
        <v>6</v>
      </c>
      <c r="I10" s="7"/>
      <c r="J10" s="7"/>
      <c r="K10" s="7">
        <v>4</v>
      </c>
      <c r="L10" s="7"/>
      <c r="M10" s="7"/>
      <c r="N10" s="7">
        <v>180</v>
      </c>
      <c r="O10" s="7"/>
      <c r="P10" s="7">
        <f>H10*K10/N10</f>
        <v>0.13333333333333333</v>
      </c>
      <c r="Q10" s="7"/>
      <c r="R10" s="7"/>
      <c r="S10" s="7"/>
      <c r="T10" s="7"/>
    </row>
    <row r="11" spans="1:20" ht="15.5" x14ac:dyDescent="0.35">
      <c r="A11" s="1" t="s">
        <v>9</v>
      </c>
      <c r="B11" s="1"/>
      <c r="C11" s="1"/>
      <c r="D11" s="1"/>
      <c r="E11" s="2" t="s">
        <v>10</v>
      </c>
      <c r="F11" s="2"/>
      <c r="G11" s="2"/>
      <c r="H11" s="2">
        <v>6</v>
      </c>
      <c r="I11" s="2"/>
      <c r="J11" s="2"/>
      <c r="K11" s="2">
        <v>1.75</v>
      </c>
      <c r="L11" s="2"/>
      <c r="M11" s="2"/>
      <c r="N11" s="2">
        <v>84</v>
      </c>
      <c r="O11" s="2"/>
      <c r="P11" s="2">
        <f>H11*K11/N11</f>
        <v>0.125</v>
      </c>
      <c r="Q11" s="2"/>
      <c r="R11" s="2"/>
      <c r="S11" s="2"/>
      <c r="T11" s="2"/>
    </row>
    <row r="12" spans="1:20" ht="15.5" x14ac:dyDescent="0.35">
      <c r="A12" s="1"/>
      <c r="B12" s="1"/>
      <c r="C12" s="1"/>
      <c r="D12" s="1"/>
      <c r="E12" s="2" t="s">
        <v>11</v>
      </c>
      <c r="F12" s="2"/>
      <c r="G12" s="2"/>
      <c r="H12" s="2">
        <v>6</v>
      </c>
      <c r="I12" s="2"/>
      <c r="J12" s="2"/>
      <c r="K12" s="2">
        <v>3.3</v>
      </c>
      <c r="L12" s="2"/>
      <c r="M12" s="2"/>
      <c r="N12" s="2">
        <v>139</v>
      </c>
      <c r="O12" s="2"/>
      <c r="P12" s="2">
        <f t="shared" ref="P12:P23" si="0">H12*K12/N12</f>
        <v>0.14244604316546761</v>
      </c>
      <c r="Q12" s="2"/>
      <c r="R12" s="2"/>
      <c r="S12" s="2"/>
      <c r="T12" s="2"/>
    </row>
    <row r="13" spans="1:20" ht="15.5" x14ac:dyDescent="0.35">
      <c r="A13" s="1"/>
      <c r="B13" s="1"/>
      <c r="C13" s="1"/>
      <c r="D13" s="1"/>
      <c r="E13" s="2" t="s">
        <v>12</v>
      </c>
      <c r="F13" s="2"/>
      <c r="G13" s="2"/>
      <c r="H13" s="2">
        <v>6</v>
      </c>
      <c r="I13" s="2"/>
      <c r="J13" s="2"/>
      <c r="K13" s="2">
        <v>2</v>
      </c>
      <c r="L13" s="2"/>
      <c r="M13" s="2"/>
      <c r="N13" s="2">
        <v>88</v>
      </c>
      <c r="O13" s="2"/>
      <c r="P13" s="2">
        <f t="shared" si="0"/>
        <v>0.13636363636363635</v>
      </c>
      <c r="Q13" s="2"/>
      <c r="R13" s="2"/>
      <c r="S13" s="2"/>
      <c r="T13" s="2"/>
    </row>
    <row r="14" spans="1:20" ht="15.5" x14ac:dyDescent="0.35">
      <c r="A14" s="1"/>
      <c r="B14" s="1"/>
      <c r="C14" s="1"/>
      <c r="D14" s="1"/>
      <c r="E14" s="2" t="s">
        <v>13</v>
      </c>
      <c r="F14" s="2"/>
      <c r="G14" s="2"/>
      <c r="H14" s="2">
        <v>6</v>
      </c>
      <c r="I14" s="2"/>
      <c r="J14" s="2"/>
      <c r="K14" s="2">
        <v>1.25</v>
      </c>
      <c r="L14" s="2"/>
      <c r="M14" s="2"/>
      <c r="N14" s="2">
        <v>60</v>
      </c>
      <c r="O14" s="2"/>
      <c r="P14" s="2">
        <f t="shared" si="0"/>
        <v>0.125</v>
      </c>
      <c r="Q14" s="2"/>
      <c r="R14" s="2"/>
      <c r="S14" s="2"/>
      <c r="T14" s="2"/>
    </row>
    <row r="15" spans="1:20" ht="15.5" x14ac:dyDescent="0.35">
      <c r="A15" s="1"/>
      <c r="B15" s="1"/>
      <c r="C15" s="1"/>
      <c r="D15" s="1"/>
      <c r="E15" s="2" t="s">
        <v>14</v>
      </c>
      <c r="F15" s="2"/>
      <c r="G15" s="2"/>
      <c r="H15" s="2">
        <v>6</v>
      </c>
      <c r="I15" s="2"/>
      <c r="J15" s="2"/>
      <c r="K15" s="2">
        <v>1.34</v>
      </c>
      <c r="L15" s="2"/>
      <c r="M15" s="2"/>
      <c r="N15" s="2">
        <v>60</v>
      </c>
      <c r="O15" s="2"/>
      <c r="P15" s="2">
        <f t="shared" si="0"/>
        <v>0.13400000000000001</v>
      </c>
      <c r="Q15" s="2"/>
      <c r="R15" s="2"/>
      <c r="S15" s="2"/>
      <c r="T15" s="2"/>
    </row>
    <row r="16" spans="1:20" ht="15.5" x14ac:dyDescent="0.35">
      <c r="A16" s="6" t="s">
        <v>15</v>
      </c>
      <c r="B16" s="6"/>
      <c r="C16" s="6"/>
      <c r="D16" s="6"/>
      <c r="E16" s="7" t="s">
        <v>16</v>
      </c>
      <c r="F16" s="7"/>
      <c r="G16" s="7"/>
      <c r="H16" s="7">
        <v>6</v>
      </c>
      <c r="I16" s="7"/>
      <c r="J16" s="7"/>
      <c r="K16" s="7">
        <v>3.24</v>
      </c>
      <c r="L16" s="7"/>
      <c r="M16" s="7"/>
      <c r="N16" s="7">
        <v>150</v>
      </c>
      <c r="O16" s="7"/>
      <c r="P16" s="7">
        <f t="shared" si="0"/>
        <v>0.12960000000000002</v>
      </c>
      <c r="Q16" s="7"/>
      <c r="R16" s="7"/>
      <c r="S16" s="7"/>
      <c r="T16" s="7"/>
    </row>
    <row r="17" spans="1:20" ht="15.5" x14ac:dyDescent="0.35">
      <c r="A17" s="6" t="s">
        <v>17</v>
      </c>
      <c r="B17" s="6"/>
      <c r="C17" s="6"/>
      <c r="D17" s="6"/>
      <c r="E17" s="7" t="s">
        <v>18</v>
      </c>
      <c r="F17" s="7"/>
      <c r="G17" s="7"/>
      <c r="H17" s="7">
        <v>6</v>
      </c>
      <c r="I17" s="7"/>
      <c r="J17" s="7"/>
      <c r="K17" s="7">
        <v>3.4</v>
      </c>
      <c r="L17" s="7"/>
      <c r="M17" s="7"/>
      <c r="N17" s="7">
        <v>140</v>
      </c>
      <c r="O17" s="7"/>
      <c r="P17" s="7">
        <f t="shared" si="0"/>
        <v>0.14571428571428571</v>
      </c>
      <c r="Q17" s="7"/>
      <c r="R17" s="7"/>
      <c r="S17" s="7"/>
      <c r="T17" s="7"/>
    </row>
    <row r="18" spans="1:20" ht="15.5" x14ac:dyDescent="0.35">
      <c r="A18" s="1" t="s">
        <v>19</v>
      </c>
      <c r="B18" s="1"/>
      <c r="C18" s="1"/>
      <c r="D18" s="1"/>
      <c r="E18" s="2" t="s">
        <v>20</v>
      </c>
      <c r="F18" s="2"/>
      <c r="G18" s="2"/>
      <c r="H18" s="2">
        <v>6</v>
      </c>
      <c r="I18" s="2"/>
      <c r="J18" s="2"/>
      <c r="K18" s="2">
        <v>2.5</v>
      </c>
      <c r="L18" s="2"/>
      <c r="M18" s="2"/>
      <c r="N18" s="2">
        <v>90</v>
      </c>
      <c r="O18" s="2"/>
      <c r="P18" s="2">
        <f t="shared" si="0"/>
        <v>0.16666666666666666</v>
      </c>
      <c r="Q18" s="2"/>
      <c r="R18" s="2"/>
      <c r="S18" s="2"/>
      <c r="T18" s="2"/>
    </row>
    <row r="19" spans="1:20" ht="15.5" x14ac:dyDescent="0.35">
      <c r="A19" s="1"/>
      <c r="B19" s="1"/>
      <c r="C19" s="1"/>
      <c r="D19" s="1"/>
      <c r="E19" s="2" t="s">
        <v>83</v>
      </c>
      <c r="F19" s="2"/>
      <c r="G19" s="2"/>
      <c r="H19" s="2">
        <v>6</v>
      </c>
      <c r="I19" s="2"/>
      <c r="J19" s="2"/>
      <c r="K19" s="2">
        <v>1.75</v>
      </c>
      <c r="L19" s="2"/>
      <c r="M19" s="2"/>
      <c r="N19" s="2">
        <v>80</v>
      </c>
      <c r="O19" s="2"/>
      <c r="P19" s="2">
        <f>H19*K19/N19</f>
        <v>0.13125000000000001</v>
      </c>
      <c r="Q19" s="2"/>
      <c r="R19" s="2"/>
      <c r="S19" s="2"/>
      <c r="T19" s="2"/>
    </row>
    <row r="20" spans="1:20" ht="15.5" x14ac:dyDescent="0.35">
      <c r="A20" s="1"/>
      <c r="B20" s="1"/>
      <c r="C20" s="1"/>
      <c r="D20" s="1"/>
      <c r="E20" s="2" t="s">
        <v>84</v>
      </c>
      <c r="F20" s="2"/>
      <c r="G20" s="2"/>
      <c r="H20" s="2">
        <v>6</v>
      </c>
      <c r="I20" s="2"/>
      <c r="J20" s="2"/>
      <c r="K20" s="2">
        <v>1.5</v>
      </c>
      <c r="L20" s="2"/>
      <c r="M20" s="2"/>
      <c r="N20" s="2">
        <v>70</v>
      </c>
      <c r="O20" s="2"/>
      <c r="P20" s="2">
        <f t="shared" ref="P20" si="1">H20*K20/N20</f>
        <v>0.12857142857142856</v>
      </c>
      <c r="Q20" s="2"/>
      <c r="R20" s="2"/>
      <c r="S20" s="2"/>
      <c r="T20" s="2"/>
    </row>
    <row r="21" spans="1:20" ht="15.5" x14ac:dyDescent="0.35">
      <c r="A21" s="1"/>
      <c r="B21" s="1"/>
      <c r="C21" s="1"/>
      <c r="D21" s="1"/>
      <c r="E21" s="2" t="s">
        <v>85</v>
      </c>
      <c r="F21" s="2"/>
      <c r="G21" s="2"/>
      <c r="H21" s="2">
        <v>6</v>
      </c>
      <c r="I21" s="2"/>
      <c r="J21" s="2"/>
      <c r="K21" s="2">
        <v>1.5</v>
      </c>
      <c r="L21" s="2"/>
      <c r="M21" s="2"/>
      <c r="N21" s="2">
        <v>70</v>
      </c>
      <c r="O21" s="2"/>
      <c r="P21" s="2">
        <f>H21*K21/N21</f>
        <v>0.12857142857142856</v>
      </c>
      <c r="Q21" s="2"/>
      <c r="R21" s="2"/>
      <c r="S21" s="2"/>
      <c r="T21" s="2"/>
    </row>
    <row r="22" spans="1:20" ht="15.5" x14ac:dyDescent="0.35">
      <c r="A22" s="3"/>
      <c r="B22" s="3"/>
      <c r="C22" s="3"/>
      <c r="D22" s="3"/>
      <c r="E22" s="2" t="s">
        <v>21</v>
      </c>
      <c r="F22" s="2"/>
      <c r="G22" s="2"/>
      <c r="H22" s="2">
        <v>6</v>
      </c>
      <c r="I22" s="2"/>
      <c r="J22" s="2"/>
      <c r="K22" s="2">
        <v>60</v>
      </c>
      <c r="L22" s="2"/>
      <c r="M22" s="2"/>
      <c r="N22" s="2">
        <v>90</v>
      </c>
      <c r="O22" s="2"/>
      <c r="P22" s="2">
        <f t="shared" ref="P22" si="2">H22*K22/N22</f>
        <v>4</v>
      </c>
      <c r="Q22" s="2"/>
      <c r="R22" s="2"/>
      <c r="S22" s="2"/>
      <c r="T22" s="2"/>
    </row>
    <row r="23" spans="1:20" ht="15.5" x14ac:dyDescent="0.35">
      <c r="A23" s="3"/>
      <c r="B23" s="3"/>
      <c r="C23" s="3"/>
      <c r="D23" s="3"/>
      <c r="E23" s="2" t="s">
        <v>86</v>
      </c>
      <c r="F23" s="2"/>
      <c r="G23" s="2"/>
      <c r="H23" s="2">
        <v>6</v>
      </c>
      <c r="I23" s="2"/>
      <c r="J23" s="2"/>
      <c r="K23" s="2">
        <v>1.25</v>
      </c>
      <c r="L23" s="2"/>
      <c r="M23" s="2"/>
      <c r="N23" s="2">
        <v>60</v>
      </c>
      <c r="O23" s="2"/>
      <c r="P23" s="2">
        <f t="shared" si="0"/>
        <v>0.125</v>
      </c>
      <c r="Q23" s="2"/>
      <c r="R23" s="2"/>
      <c r="S23" s="2"/>
      <c r="T23" s="2"/>
    </row>
    <row r="24" spans="1:20" ht="15.5" x14ac:dyDescent="0.35">
      <c r="A24" s="6" t="s">
        <v>22</v>
      </c>
      <c r="B24" s="6"/>
      <c r="C24" s="6"/>
      <c r="D24" s="6"/>
      <c r="E24" s="7" t="s">
        <v>23</v>
      </c>
      <c r="F24" s="7"/>
      <c r="G24" s="7"/>
      <c r="H24" s="7">
        <v>6</v>
      </c>
      <c r="I24" s="7"/>
      <c r="J24" s="7"/>
      <c r="K24" s="7">
        <v>4</v>
      </c>
      <c r="L24" s="7"/>
      <c r="M24" s="7"/>
      <c r="N24" s="7">
        <v>120</v>
      </c>
      <c r="O24" s="7"/>
      <c r="P24" s="7">
        <f t="shared" ref="P24" si="3">H24*K24/N24</f>
        <v>0.2</v>
      </c>
      <c r="Q24" s="7"/>
      <c r="R24" s="7"/>
      <c r="S24" s="7"/>
      <c r="T24" s="7"/>
    </row>
    <row r="25" spans="1:20" ht="15.5" x14ac:dyDescent="0.35">
      <c r="A25" s="6"/>
      <c r="B25" s="6"/>
      <c r="C25" s="6"/>
      <c r="D25" s="6"/>
      <c r="E25" s="7" t="s">
        <v>24</v>
      </c>
      <c r="F25" s="7"/>
      <c r="G25" s="7"/>
      <c r="H25" s="7">
        <v>6</v>
      </c>
      <c r="I25" s="7"/>
      <c r="J25" s="7"/>
      <c r="K25" s="7">
        <v>4.4000000000000004</v>
      </c>
      <c r="L25" s="7"/>
      <c r="M25" s="7"/>
      <c r="N25" s="7">
        <v>150</v>
      </c>
      <c r="O25" s="7"/>
      <c r="P25" s="7">
        <f t="shared" ref="P25" si="4">H25*K25/N25</f>
        <v>0.17600000000000002</v>
      </c>
      <c r="Q25" s="7"/>
      <c r="R25" s="7"/>
      <c r="S25" s="7"/>
      <c r="T25" s="7"/>
    </row>
    <row r="26" spans="1:20" ht="15.5" x14ac:dyDescent="0.35">
      <c r="A26" s="1" t="s">
        <v>25</v>
      </c>
      <c r="B26" s="1"/>
      <c r="C26" s="1"/>
      <c r="D26" s="1"/>
      <c r="E26" s="2" t="s">
        <v>26</v>
      </c>
      <c r="F26" s="2"/>
      <c r="G26" s="2"/>
      <c r="H26" s="2">
        <v>6</v>
      </c>
      <c r="I26" s="2"/>
      <c r="J26" s="2"/>
      <c r="K26" s="2">
        <v>2.98</v>
      </c>
      <c r="L26" s="2"/>
      <c r="M26" s="2"/>
      <c r="N26" s="2">
        <v>121</v>
      </c>
      <c r="O26" s="2"/>
      <c r="P26" s="2">
        <f t="shared" ref="P26:P27" si="5">H26*K26/N26</f>
        <v>0.14776859504132231</v>
      </c>
      <c r="Q26" s="2"/>
      <c r="R26" s="2"/>
      <c r="S26" s="2"/>
      <c r="T26" s="2"/>
    </row>
    <row r="27" spans="1:20" ht="15.5" x14ac:dyDescent="0.35">
      <c r="A27" s="1"/>
      <c r="B27" s="1"/>
      <c r="C27" s="1"/>
      <c r="D27" s="1"/>
      <c r="E27" s="2" t="s">
        <v>27</v>
      </c>
      <c r="F27" s="2"/>
      <c r="G27" s="2"/>
      <c r="H27" s="2">
        <v>6</v>
      </c>
      <c r="I27" s="2"/>
      <c r="J27" s="2"/>
      <c r="K27" s="2">
        <v>3.97</v>
      </c>
      <c r="L27" s="2"/>
      <c r="M27" s="2"/>
      <c r="N27" s="2">
        <v>181</v>
      </c>
      <c r="O27" s="2"/>
      <c r="P27" s="2">
        <f t="shared" si="5"/>
        <v>0.13160220994475139</v>
      </c>
      <c r="Q27" s="2"/>
      <c r="R27" s="2"/>
      <c r="S27" s="2"/>
      <c r="T27" s="2"/>
    </row>
    <row r="28" spans="1:20" ht="15.5" x14ac:dyDescent="0.35">
      <c r="A28" s="8" t="s">
        <v>28</v>
      </c>
      <c r="B28" s="8"/>
      <c r="C28" s="8"/>
      <c r="D28" s="8"/>
      <c r="E28" s="9" t="s">
        <v>29</v>
      </c>
      <c r="F28" s="9"/>
      <c r="G28" s="9"/>
      <c r="H28" s="9">
        <v>6</v>
      </c>
      <c r="I28" s="9"/>
      <c r="J28" s="9"/>
      <c r="K28" s="9">
        <v>1.45</v>
      </c>
      <c r="L28" s="9"/>
      <c r="M28" s="9"/>
      <c r="N28" s="9">
        <v>70</v>
      </c>
      <c r="O28" s="9"/>
      <c r="P28" s="9">
        <f t="shared" ref="P28" si="6">H28*K28/N28</f>
        <v>0.12428571428571428</v>
      </c>
      <c r="Q28" s="9"/>
      <c r="R28" s="9"/>
      <c r="S28" s="9"/>
      <c r="T28" s="9"/>
    </row>
    <row r="29" spans="1:20" ht="15.5" x14ac:dyDescent="0.35">
      <c r="A29" s="8"/>
      <c r="B29" s="8"/>
      <c r="C29" s="8"/>
      <c r="D29" s="8"/>
      <c r="E29" s="9" t="s">
        <v>30</v>
      </c>
      <c r="F29" s="9"/>
      <c r="G29" s="9"/>
      <c r="H29" s="9">
        <v>6</v>
      </c>
      <c r="I29" s="9"/>
      <c r="J29" s="9"/>
      <c r="K29" s="9">
        <v>1.29</v>
      </c>
      <c r="L29" s="9"/>
      <c r="M29" s="9"/>
      <c r="N29" s="9">
        <v>75</v>
      </c>
      <c r="O29" s="9"/>
      <c r="P29" s="9">
        <f t="shared" ref="P29" si="7">H29*K29/N29</f>
        <v>0.1032</v>
      </c>
      <c r="Q29" s="9"/>
      <c r="R29" s="9"/>
      <c r="S29" s="9"/>
      <c r="T29" s="9"/>
    </row>
    <row r="30" spans="1:20" ht="15.5" x14ac:dyDescent="0.35">
      <c r="A30" s="1" t="s">
        <v>31</v>
      </c>
      <c r="B30" s="1"/>
      <c r="C30" s="1"/>
      <c r="D30" s="1"/>
      <c r="E30" s="2" t="s">
        <v>32</v>
      </c>
      <c r="F30" s="2"/>
      <c r="G30" s="2"/>
      <c r="H30" s="2">
        <v>6</v>
      </c>
      <c r="I30" s="2"/>
      <c r="J30" s="2"/>
      <c r="K30" s="2">
        <v>4.8</v>
      </c>
      <c r="L30" s="2"/>
      <c r="M30" s="2"/>
      <c r="N30" s="2">
        <v>236</v>
      </c>
      <c r="O30" s="2"/>
      <c r="P30" s="2">
        <f t="shared" ref="P30" si="8">H30*K30/N30</f>
        <v>0.12203389830508474</v>
      </c>
      <c r="Q30" s="2"/>
      <c r="R30" s="2"/>
      <c r="S30" s="2"/>
      <c r="T30" s="2"/>
    </row>
    <row r="31" spans="1:20" ht="15.5" x14ac:dyDescent="0.35">
      <c r="A31" s="6" t="s">
        <v>33</v>
      </c>
      <c r="B31" s="6"/>
      <c r="C31" s="6"/>
      <c r="D31" s="6"/>
      <c r="E31" s="7" t="s">
        <v>34</v>
      </c>
      <c r="F31" s="7"/>
      <c r="G31" s="7"/>
      <c r="H31" s="7">
        <v>6</v>
      </c>
      <c r="I31" s="7"/>
      <c r="J31" s="7"/>
      <c r="K31" s="7">
        <v>1.1499999999999999</v>
      </c>
      <c r="L31" s="7"/>
      <c r="M31" s="7"/>
      <c r="N31" s="7">
        <v>70</v>
      </c>
      <c r="O31" s="7"/>
      <c r="P31" s="7">
        <f t="shared" ref="P31" si="9">H31*K31/N31</f>
        <v>9.857142857142856E-2</v>
      </c>
      <c r="Q31" s="7"/>
      <c r="R31" s="7"/>
      <c r="S31" s="7"/>
      <c r="T31" s="7"/>
    </row>
    <row r="32" spans="1:20" ht="15.5" x14ac:dyDescent="0.35">
      <c r="A32" s="6"/>
      <c r="B32" s="6"/>
      <c r="C32" s="6"/>
      <c r="D32" s="6"/>
      <c r="E32" s="7" t="s">
        <v>35</v>
      </c>
      <c r="F32" s="7"/>
      <c r="G32" s="7"/>
      <c r="H32" s="7">
        <v>6</v>
      </c>
      <c r="I32" s="7"/>
      <c r="J32" s="7"/>
      <c r="K32" s="7">
        <v>2.4</v>
      </c>
      <c r="L32" s="7"/>
      <c r="M32" s="7"/>
      <c r="N32" s="7">
        <v>100</v>
      </c>
      <c r="O32" s="7"/>
      <c r="P32" s="7">
        <f t="shared" ref="P32" si="10">H32*K32/N32</f>
        <v>0.14399999999999999</v>
      </c>
      <c r="Q32" s="7"/>
      <c r="R32" s="7"/>
      <c r="S32" s="7"/>
      <c r="T32" s="7"/>
    </row>
    <row r="33" spans="1:20" ht="15.5" x14ac:dyDescent="0.35">
      <c r="A33" s="1" t="s">
        <v>36</v>
      </c>
      <c r="B33" s="1"/>
      <c r="C33" s="1"/>
      <c r="D33" s="1"/>
      <c r="E33" s="2" t="s">
        <v>37</v>
      </c>
      <c r="F33" s="2"/>
      <c r="G33" s="2"/>
      <c r="H33" s="2">
        <v>6</v>
      </c>
      <c r="I33" s="2"/>
      <c r="J33" s="2"/>
      <c r="K33" s="2">
        <v>1.48</v>
      </c>
      <c r="L33" s="2"/>
      <c r="M33" s="2"/>
      <c r="N33" s="2">
        <v>75</v>
      </c>
      <c r="O33" s="2"/>
      <c r="P33" s="2">
        <f t="shared" ref="P33" si="11">H33*K33/N33</f>
        <v>0.11839999999999999</v>
      </c>
      <c r="Q33" s="2"/>
      <c r="R33" s="2"/>
      <c r="S33" s="2"/>
      <c r="T33" s="2"/>
    </row>
    <row r="34" spans="1:20" ht="15.5" x14ac:dyDescent="0.35">
      <c r="A34" s="1"/>
      <c r="B34" s="1"/>
      <c r="C34" s="1"/>
      <c r="D34" s="1"/>
      <c r="E34" s="2" t="s">
        <v>38</v>
      </c>
      <c r="F34" s="2"/>
      <c r="G34" s="2"/>
      <c r="H34" s="2">
        <v>6</v>
      </c>
      <c r="I34" s="2"/>
      <c r="J34" s="2"/>
      <c r="K34" s="2">
        <v>1.48</v>
      </c>
      <c r="L34" s="2"/>
      <c r="M34" s="2"/>
      <c r="N34" s="2">
        <v>70</v>
      </c>
      <c r="O34" s="2"/>
      <c r="P34" s="2">
        <f t="shared" ref="P34" si="12">H34*K34/N34</f>
        <v>0.12685714285714284</v>
      </c>
      <c r="Q34" s="2"/>
      <c r="R34" s="2"/>
      <c r="S34" s="2"/>
      <c r="T34" s="2"/>
    </row>
    <row r="35" spans="1:20" ht="15.5" x14ac:dyDescent="0.35">
      <c r="A35" s="8" t="s">
        <v>39</v>
      </c>
      <c r="B35" s="8"/>
      <c r="C35" s="8"/>
      <c r="D35" s="8"/>
      <c r="E35" s="9" t="s">
        <v>40</v>
      </c>
      <c r="F35" s="9"/>
      <c r="G35" s="9"/>
      <c r="H35" s="9">
        <v>6</v>
      </c>
      <c r="I35" s="9"/>
      <c r="J35" s="9"/>
      <c r="K35" s="9">
        <v>3</v>
      </c>
      <c r="L35" s="9"/>
      <c r="M35" s="9"/>
      <c r="N35" s="9">
        <v>110</v>
      </c>
      <c r="O35" s="9"/>
      <c r="P35" s="9">
        <f t="shared" ref="P35" si="13">H35*K35/N35</f>
        <v>0.16363636363636364</v>
      </c>
      <c r="Q35" s="9"/>
      <c r="R35" s="9"/>
      <c r="S35" s="9"/>
      <c r="T35" s="9"/>
    </row>
    <row r="36" spans="1:20" ht="15.5" x14ac:dyDescent="0.35">
      <c r="A36" s="8" t="s">
        <v>41</v>
      </c>
      <c r="B36" s="8"/>
      <c r="C36" s="8"/>
      <c r="D36" s="8"/>
      <c r="E36" s="9" t="s">
        <v>42</v>
      </c>
      <c r="F36" s="9"/>
      <c r="G36" s="9"/>
      <c r="H36" s="9">
        <v>6</v>
      </c>
      <c r="I36" s="9"/>
      <c r="J36" s="9"/>
      <c r="K36" s="9">
        <v>1.9</v>
      </c>
      <c r="L36" s="9"/>
      <c r="M36" s="9"/>
      <c r="N36" s="9">
        <v>80</v>
      </c>
      <c r="O36" s="9"/>
      <c r="P36" s="9">
        <f t="shared" ref="P36" si="14">H36*K36/N36</f>
        <v>0.14249999999999999</v>
      </c>
      <c r="Q36" s="9"/>
      <c r="R36" s="9"/>
      <c r="S36" s="9"/>
      <c r="T36" s="9"/>
    </row>
    <row r="37" spans="1:20" ht="15.5" x14ac:dyDescent="0.35">
      <c r="A37" s="1" t="s">
        <v>43</v>
      </c>
      <c r="B37" s="1"/>
      <c r="C37" s="1"/>
      <c r="D37" s="1"/>
      <c r="E37" s="2" t="s">
        <v>44</v>
      </c>
      <c r="F37" s="2"/>
      <c r="G37" s="2"/>
      <c r="H37" s="2">
        <v>6</v>
      </c>
      <c r="I37" s="2"/>
      <c r="J37" s="2"/>
      <c r="K37" s="2">
        <v>2.88</v>
      </c>
      <c r="L37" s="2"/>
      <c r="M37" s="2"/>
      <c r="N37" s="2">
        <v>110</v>
      </c>
      <c r="O37" s="2"/>
      <c r="P37" s="2">
        <f t="shared" ref="P37" si="15">H37*K37/N37</f>
        <v>0.15709090909090911</v>
      </c>
      <c r="Q37" s="2"/>
      <c r="R37" s="2"/>
      <c r="S37" s="2"/>
      <c r="T37" s="2"/>
    </row>
    <row r="38" spans="1:20" ht="15.5" x14ac:dyDescent="0.35">
      <c r="A38" s="3"/>
      <c r="B38" s="3"/>
      <c r="C38" s="3"/>
      <c r="D38" s="3"/>
      <c r="E38" s="2" t="s">
        <v>45</v>
      </c>
      <c r="F38" s="2"/>
      <c r="G38" s="2"/>
      <c r="H38" s="2">
        <v>6</v>
      </c>
      <c r="I38" s="2"/>
      <c r="J38" s="2"/>
      <c r="K38" s="2">
        <v>3.24</v>
      </c>
      <c r="L38" s="2"/>
      <c r="M38" s="2"/>
      <c r="N38" s="2">
        <v>150</v>
      </c>
      <c r="O38" s="2"/>
      <c r="P38" s="2">
        <f t="shared" ref="P38" si="16">H38*K38/N38</f>
        <v>0.12960000000000002</v>
      </c>
      <c r="Q38" s="2"/>
      <c r="R38" s="2"/>
      <c r="S38" s="2"/>
      <c r="T38" s="2"/>
    </row>
    <row r="39" spans="1:20" ht="15.5" x14ac:dyDescent="0.35">
      <c r="A39" s="1" t="s">
        <v>46</v>
      </c>
      <c r="B39" s="1"/>
      <c r="C39" s="1"/>
      <c r="D39" s="1"/>
      <c r="E39" s="2" t="s">
        <v>47</v>
      </c>
      <c r="F39" s="2"/>
      <c r="G39" s="2"/>
      <c r="H39" s="2">
        <v>6</v>
      </c>
      <c r="I39" s="2"/>
      <c r="J39" s="2"/>
      <c r="K39" s="2">
        <v>2.25</v>
      </c>
      <c r="L39" s="2"/>
      <c r="M39" s="2"/>
      <c r="N39" s="2">
        <v>75</v>
      </c>
      <c r="O39" s="2"/>
      <c r="P39" s="2">
        <f t="shared" ref="P39" si="17">H39*K39/N39</f>
        <v>0.18</v>
      </c>
      <c r="Q39" s="2"/>
      <c r="R39" s="2"/>
      <c r="S39" s="2"/>
      <c r="T39" s="2"/>
    </row>
    <row r="40" spans="1:20" ht="15.5" x14ac:dyDescent="0.35">
      <c r="A40" s="6" t="s">
        <v>48</v>
      </c>
      <c r="B40" s="6"/>
      <c r="C40" s="6"/>
      <c r="D40" s="6"/>
      <c r="E40" s="7" t="s">
        <v>49</v>
      </c>
      <c r="F40" s="7"/>
      <c r="G40" s="7"/>
      <c r="H40" s="7">
        <v>6</v>
      </c>
      <c r="I40" s="7"/>
      <c r="J40" s="7"/>
      <c r="K40" s="7">
        <v>2.9</v>
      </c>
      <c r="L40" s="7"/>
      <c r="M40" s="7"/>
      <c r="N40" s="7">
        <v>116</v>
      </c>
      <c r="O40" s="7"/>
      <c r="P40" s="7">
        <f t="shared" ref="P40" si="18">H40*K40/N40</f>
        <v>0.15</v>
      </c>
      <c r="Q40" s="7"/>
      <c r="R40" s="7"/>
      <c r="S40" s="7"/>
      <c r="T40" s="7"/>
    </row>
    <row r="41" spans="1:20" ht="15.5" x14ac:dyDescent="0.35">
      <c r="A41" s="6"/>
      <c r="B41" s="6"/>
      <c r="C41" s="6"/>
      <c r="D41" s="6"/>
      <c r="E41" s="7" t="s">
        <v>50</v>
      </c>
      <c r="F41" s="7"/>
      <c r="G41" s="7"/>
      <c r="H41" s="7">
        <v>6</v>
      </c>
      <c r="I41" s="7"/>
      <c r="J41" s="7"/>
      <c r="K41" s="7">
        <v>2.9</v>
      </c>
      <c r="L41" s="7"/>
      <c r="M41" s="7"/>
      <c r="N41" s="7">
        <v>100</v>
      </c>
      <c r="O41" s="7"/>
      <c r="P41" s="7">
        <f t="shared" ref="P41" si="19">H41*K41/N41</f>
        <v>0.17399999999999999</v>
      </c>
      <c r="Q41" s="7"/>
      <c r="R41" s="7"/>
      <c r="S41" s="7"/>
      <c r="T41" s="7"/>
    </row>
    <row r="42" spans="1:20" ht="15.5" x14ac:dyDescent="0.35">
      <c r="A42" s="6" t="s">
        <v>51</v>
      </c>
      <c r="B42" s="6"/>
      <c r="C42" s="6"/>
      <c r="D42" s="6"/>
      <c r="E42" s="7" t="s">
        <v>52</v>
      </c>
      <c r="F42" s="7"/>
      <c r="G42" s="7"/>
      <c r="H42" s="7">
        <v>6</v>
      </c>
      <c r="I42" s="7"/>
      <c r="J42" s="7"/>
      <c r="K42" s="7">
        <v>2.89</v>
      </c>
      <c r="L42" s="7"/>
      <c r="M42" s="7"/>
      <c r="N42" s="7">
        <v>95</v>
      </c>
      <c r="O42" s="7"/>
      <c r="P42" s="7">
        <f t="shared" ref="P42" si="20">H42*K42/N42</f>
        <v>0.18252631578947368</v>
      </c>
      <c r="Q42" s="7"/>
      <c r="R42" s="7"/>
      <c r="S42" s="7"/>
      <c r="T42" s="7"/>
    </row>
    <row r="43" spans="1:20" ht="15.5" x14ac:dyDescent="0.35">
      <c r="A43" s="6"/>
      <c r="B43" s="6"/>
      <c r="C43" s="6"/>
      <c r="D43" s="6"/>
      <c r="E43" s="7" t="s">
        <v>53</v>
      </c>
      <c r="F43" s="7"/>
      <c r="G43" s="7"/>
      <c r="H43" s="7">
        <v>6</v>
      </c>
      <c r="I43" s="7"/>
      <c r="J43" s="7"/>
      <c r="K43" s="7">
        <v>2.89</v>
      </c>
      <c r="L43" s="7"/>
      <c r="M43" s="7"/>
      <c r="N43" s="7">
        <v>95</v>
      </c>
      <c r="O43" s="7"/>
      <c r="P43" s="7">
        <f t="shared" ref="P43" si="21">H43*K43/N43</f>
        <v>0.18252631578947368</v>
      </c>
      <c r="Q43" s="7"/>
      <c r="R43" s="7"/>
      <c r="S43" s="7"/>
      <c r="T43" s="7"/>
    </row>
    <row r="44" spans="1:20" ht="15.5" x14ac:dyDescent="0.35">
      <c r="A44" s="1" t="s">
        <v>54</v>
      </c>
      <c r="B44" s="1"/>
      <c r="C44" s="1"/>
      <c r="D44" s="1"/>
      <c r="E44" s="2" t="s">
        <v>55</v>
      </c>
      <c r="F44" s="2"/>
      <c r="G44" s="2"/>
      <c r="H44" s="2">
        <v>6</v>
      </c>
      <c r="I44" s="2"/>
      <c r="J44" s="2"/>
      <c r="K44" s="2">
        <v>0.96</v>
      </c>
      <c r="L44" s="2"/>
      <c r="M44" s="2"/>
      <c r="N44" s="2">
        <v>50</v>
      </c>
      <c r="O44" s="2"/>
      <c r="P44" s="2">
        <f t="shared" ref="P44" si="22">H44*K44/N44</f>
        <v>0.1152</v>
      </c>
      <c r="Q44" s="2"/>
      <c r="R44" s="2"/>
      <c r="S44" s="2"/>
      <c r="T44" s="2"/>
    </row>
    <row r="45" spans="1:20" ht="15.5" x14ac:dyDescent="0.35">
      <c r="A45" s="3"/>
      <c r="B45" s="3"/>
      <c r="C45" s="3"/>
      <c r="D45" s="3"/>
      <c r="E45" s="2" t="s">
        <v>56</v>
      </c>
      <c r="F45" s="2"/>
      <c r="G45" s="2"/>
      <c r="H45" s="2">
        <v>6</v>
      </c>
      <c r="I45" s="2"/>
      <c r="J45" s="2"/>
      <c r="K45" s="2">
        <v>1.53</v>
      </c>
      <c r="L45" s="2"/>
      <c r="M45" s="2"/>
      <c r="N45" s="2">
        <v>82</v>
      </c>
      <c r="O45" s="2"/>
      <c r="P45" s="2">
        <f t="shared" ref="P45" si="23">H45*K45/N45</f>
        <v>0.11195121951219512</v>
      </c>
      <c r="Q45" s="2"/>
      <c r="R45" s="2"/>
      <c r="S45" s="2"/>
      <c r="T45" s="2"/>
    </row>
    <row r="46" spans="1:20" ht="15.5" x14ac:dyDescent="0.35">
      <c r="A46" s="3"/>
      <c r="B46" s="3"/>
      <c r="C46" s="3"/>
      <c r="D46" s="3"/>
      <c r="E46" s="2" t="s">
        <v>57</v>
      </c>
      <c r="F46" s="2"/>
      <c r="G46" s="2"/>
      <c r="H46" s="2">
        <v>6</v>
      </c>
      <c r="I46" s="2"/>
      <c r="J46" s="2"/>
      <c r="K46" s="2">
        <v>1.53</v>
      </c>
      <c r="L46" s="2"/>
      <c r="M46" s="2"/>
      <c r="N46" s="2">
        <v>122</v>
      </c>
      <c r="O46" s="2"/>
      <c r="P46" s="2">
        <f t="shared" ref="P46" si="24">H46*K46/N46</f>
        <v>7.5245901639344262E-2</v>
      </c>
      <c r="Q46" s="2"/>
      <c r="R46" s="2"/>
      <c r="S46" s="2"/>
      <c r="T46" s="2"/>
    </row>
    <row r="47" spans="1:20" ht="15.5" x14ac:dyDescent="0.35">
      <c r="A47" s="3"/>
      <c r="B47" s="3"/>
      <c r="C47" s="3"/>
      <c r="D47" s="3"/>
      <c r="E47" s="2" t="s">
        <v>58</v>
      </c>
      <c r="F47" s="2"/>
      <c r="G47" s="2"/>
      <c r="H47" s="2">
        <v>6</v>
      </c>
      <c r="I47" s="2"/>
      <c r="J47" s="2"/>
      <c r="K47" s="2">
        <v>1.53</v>
      </c>
      <c r="L47" s="2"/>
      <c r="M47" s="2"/>
      <c r="N47" s="2">
        <v>85</v>
      </c>
      <c r="O47" s="2"/>
      <c r="P47" s="2">
        <f t="shared" ref="P47" si="25">H47*K47/N47</f>
        <v>0.108</v>
      </c>
      <c r="Q47" s="2"/>
      <c r="R47" s="2"/>
      <c r="S47" s="2"/>
      <c r="T47" s="2"/>
    </row>
    <row r="48" spans="1:20" ht="15.5" x14ac:dyDescent="0.35">
      <c r="A48" s="3"/>
      <c r="B48" s="3"/>
      <c r="C48" s="3"/>
      <c r="D48" s="3"/>
      <c r="E48" s="2" t="s">
        <v>59</v>
      </c>
      <c r="F48" s="2"/>
      <c r="G48" s="2"/>
      <c r="H48" s="2">
        <v>6</v>
      </c>
      <c r="I48" s="2"/>
      <c r="J48" s="2"/>
      <c r="K48" s="2">
        <v>1.53</v>
      </c>
      <c r="L48" s="2"/>
      <c r="M48" s="2"/>
      <c r="N48" s="2">
        <v>85</v>
      </c>
      <c r="O48" s="2"/>
      <c r="P48" s="2">
        <f t="shared" ref="P48" si="26">H48*K48/N48</f>
        <v>0.108</v>
      </c>
      <c r="Q48" s="2"/>
      <c r="R48" s="2"/>
      <c r="S48" s="2"/>
      <c r="T48" s="2"/>
    </row>
    <row r="49" spans="1:20" ht="15.5" x14ac:dyDescent="0.35">
      <c r="A49" s="3"/>
      <c r="B49" s="3"/>
      <c r="C49" s="3"/>
      <c r="D49" s="3"/>
      <c r="E49" s="2" t="s">
        <v>60</v>
      </c>
      <c r="F49" s="2"/>
      <c r="G49" s="2"/>
      <c r="H49" s="2">
        <v>6</v>
      </c>
      <c r="I49" s="2"/>
      <c r="J49" s="2"/>
      <c r="K49" s="2">
        <v>1.97</v>
      </c>
      <c r="L49" s="2"/>
      <c r="M49" s="2"/>
      <c r="N49" s="2">
        <v>108</v>
      </c>
      <c r="O49" s="2"/>
      <c r="P49" s="2">
        <f t="shared" ref="P49" si="27">H49*K49/N49</f>
        <v>0.10944444444444444</v>
      </c>
      <c r="Q49" s="2"/>
      <c r="R49" s="2"/>
      <c r="S49" s="2"/>
      <c r="T49" s="2"/>
    </row>
    <row r="50" spans="1:20" ht="15.5" x14ac:dyDescent="0.35">
      <c r="A50" s="3"/>
      <c r="B50" s="3"/>
      <c r="C50" s="3"/>
      <c r="D50" s="3"/>
      <c r="E50" s="2" t="s">
        <v>61</v>
      </c>
      <c r="F50" s="2"/>
      <c r="G50" s="2"/>
      <c r="H50" s="2">
        <v>6</v>
      </c>
      <c r="I50" s="2"/>
      <c r="J50" s="2"/>
      <c r="K50" s="2">
        <v>1.5</v>
      </c>
      <c r="L50" s="2"/>
      <c r="M50" s="2"/>
      <c r="N50" s="2">
        <v>85</v>
      </c>
      <c r="O50" s="2"/>
      <c r="P50" s="2">
        <f t="shared" ref="P50" si="28">H50*K50/N50</f>
        <v>0.10588235294117647</v>
      </c>
      <c r="Q50" s="2"/>
      <c r="R50" s="2"/>
      <c r="S50" s="2"/>
      <c r="T50" s="2"/>
    </row>
    <row r="51" spans="1:20" ht="15.5" x14ac:dyDescent="0.35">
      <c r="A51" s="3"/>
      <c r="B51" s="3"/>
      <c r="C51" s="3"/>
      <c r="D51" s="3"/>
      <c r="E51" s="2" t="s">
        <v>62</v>
      </c>
      <c r="F51" s="2"/>
      <c r="G51" s="2"/>
      <c r="H51" s="2">
        <v>6</v>
      </c>
      <c r="I51" s="2"/>
      <c r="J51" s="2"/>
      <c r="K51" s="2">
        <v>1.5</v>
      </c>
      <c r="L51" s="2"/>
      <c r="M51" s="2"/>
      <c r="N51" s="2">
        <v>165</v>
      </c>
      <c r="O51" s="2"/>
      <c r="P51" s="2">
        <f t="shared" ref="P51" si="29">H51*K51/N51</f>
        <v>5.4545454545454543E-2</v>
      </c>
      <c r="Q51" s="2"/>
      <c r="R51" s="2"/>
      <c r="S51" s="2"/>
      <c r="T51" s="2"/>
    </row>
    <row r="52" spans="1:20" ht="15.5" x14ac:dyDescent="0.35">
      <c r="A52" s="3"/>
      <c r="B52" s="3"/>
      <c r="C52" s="3"/>
      <c r="D52" s="3"/>
      <c r="E52" s="2" t="s">
        <v>63</v>
      </c>
      <c r="F52" s="2"/>
      <c r="G52" s="2"/>
      <c r="H52" s="2">
        <v>6</v>
      </c>
      <c r="I52" s="2"/>
      <c r="J52" s="2"/>
      <c r="K52" s="2">
        <v>1.4</v>
      </c>
      <c r="L52" s="2"/>
      <c r="M52" s="2"/>
      <c r="N52" s="2">
        <v>50</v>
      </c>
      <c r="O52" s="2"/>
      <c r="P52" s="2">
        <f t="shared" ref="P52" si="30">H52*K52/N52</f>
        <v>0.16799999999999998</v>
      </c>
      <c r="Q52" s="2"/>
      <c r="R52" s="2"/>
      <c r="S52" s="2"/>
      <c r="T52" s="2"/>
    </row>
    <row r="53" spans="1:20" ht="15.5" x14ac:dyDescent="0.35">
      <c r="A53" s="3"/>
      <c r="B53" s="3"/>
      <c r="C53" s="3"/>
      <c r="D53" s="3"/>
      <c r="E53" s="2" t="s">
        <v>64</v>
      </c>
      <c r="F53" s="2"/>
      <c r="G53" s="2"/>
      <c r="H53" s="2">
        <v>6</v>
      </c>
      <c r="I53" s="2"/>
      <c r="J53" s="2"/>
      <c r="K53" s="2">
        <v>1.5</v>
      </c>
      <c r="L53" s="2"/>
      <c r="M53" s="2"/>
      <c r="N53" s="2">
        <v>85</v>
      </c>
      <c r="O53" s="2"/>
      <c r="P53" s="2">
        <f t="shared" ref="P53" si="31">H53*K53/N53</f>
        <v>0.10588235294117647</v>
      </c>
      <c r="Q53" s="2"/>
      <c r="R53" s="2"/>
      <c r="S53" s="2"/>
      <c r="T53" s="2"/>
    </row>
    <row r="54" spans="1:20" ht="15.5" x14ac:dyDescent="0.35">
      <c r="A54" s="3"/>
      <c r="B54" s="3"/>
      <c r="C54" s="3"/>
      <c r="D54" s="3"/>
      <c r="E54" s="2" t="s">
        <v>65</v>
      </c>
      <c r="F54" s="2"/>
      <c r="G54" s="2"/>
      <c r="H54" s="2">
        <v>6</v>
      </c>
      <c r="I54" s="2"/>
      <c r="J54" s="2"/>
      <c r="K54" s="2">
        <v>1.3</v>
      </c>
      <c r="L54" s="2"/>
      <c r="M54" s="2"/>
      <c r="N54" s="2">
        <v>60</v>
      </c>
      <c r="O54" s="2"/>
      <c r="P54" s="2">
        <f t="shared" ref="P54" si="32">H54*K54/N54</f>
        <v>0.13</v>
      </c>
      <c r="Q54" s="2"/>
      <c r="R54" s="2"/>
      <c r="S54" s="2"/>
      <c r="T54" s="2"/>
    </row>
    <row r="55" spans="1:20" ht="15.5" x14ac:dyDescent="0.35">
      <c r="A55" s="6" t="s">
        <v>66</v>
      </c>
      <c r="B55" s="6"/>
      <c r="C55" s="6"/>
      <c r="D55" s="6"/>
      <c r="E55" s="7" t="s">
        <v>67</v>
      </c>
      <c r="F55" s="7"/>
      <c r="G55" s="7"/>
      <c r="H55" s="7">
        <v>6</v>
      </c>
      <c r="I55" s="7"/>
      <c r="J55" s="7"/>
      <c r="K55" s="7">
        <v>1.87</v>
      </c>
      <c r="L55" s="7"/>
      <c r="M55" s="7"/>
      <c r="N55" s="7">
        <v>85</v>
      </c>
      <c r="O55" s="7"/>
      <c r="P55" s="7">
        <f t="shared" ref="P55" si="33">H55*K55/N55</f>
        <v>0.13200000000000001</v>
      </c>
      <c r="Q55" s="7"/>
      <c r="R55" s="7"/>
      <c r="S55" s="7"/>
      <c r="T55" s="7"/>
    </row>
    <row r="56" spans="1:20" ht="15.5" x14ac:dyDescent="0.35">
      <c r="A56" s="1" t="s">
        <v>68</v>
      </c>
      <c r="B56" s="1"/>
      <c r="C56" s="1"/>
      <c r="D56" s="1"/>
      <c r="E56" s="2" t="s">
        <v>69</v>
      </c>
      <c r="F56" s="2"/>
      <c r="G56" s="2"/>
      <c r="H56" s="2">
        <v>6</v>
      </c>
      <c r="I56" s="2"/>
      <c r="J56" s="2"/>
      <c r="K56" s="2">
        <v>1.3</v>
      </c>
      <c r="L56" s="2"/>
      <c r="M56" s="2"/>
      <c r="N56" s="2">
        <v>48</v>
      </c>
      <c r="O56" s="2"/>
      <c r="P56" s="2">
        <f t="shared" ref="P56" si="34">H56*K56/N56</f>
        <v>0.16250000000000001</v>
      </c>
      <c r="Q56" s="2"/>
      <c r="R56" s="2"/>
      <c r="S56" s="2"/>
      <c r="T56" s="2"/>
    </row>
    <row r="57" spans="1:20" ht="15.5" x14ac:dyDescent="0.35">
      <c r="A57" s="1"/>
      <c r="B57" s="1"/>
      <c r="C57" s="1"/>
      <c r="D57" s="1"/>
      <c r="E57" s="2" t="s">
        <v>70</v>
      </c>
      <c r="F57" s="2"/>
      <c r="G57" s="2"/>
      <c r="H57" s="2">
        <v>6</v>
      </c>
      <c r="I57" s="2"/>
      <c r="J57" s="2"/>
      <c r="K57" s="2">
        <v>2.2999999999999998</v>
      </c>
      <c r="L57" s="2"/>
      <c r="M57" s="2"/>
      <c r="N57" s="2">
        <v>121</v>
      </c>
      <c r="O57" s="2"/>
      <c r="P57" s="2">
        <f t="shared" ref="P57" si="35">H57*K57/N57</f>
        <v>0.1140495867768595</v>
      </c>
      <c r="Q57" s="2"/>
      <c r="R57" s="2"/>
      <c r="S57" s="2"/>
      <c r="T57" s="2"/>
    </row>
    <row r="58" spans="1:20" ht="15.5" x14ac:dyDescent="0.35">
      <c r="A58" s="1"/>
      <c r="B58" s="1"/>
      <c r="C58" s="1"/>
      <c r="D58" s="1"/>
      <c r="E58" s="2" t="s">
        <v>71</v>
      </c>
      <c r="F58" s="2"/>
      <c r="G58" s="2"/>
      <c r="H58" s="2">
        <v>6</v>
      </c>
      <c r="I58" s="2"/>
      <c r="J58" s="2"/>
      <c r="K58" s="2">
        <v>1.68</v>
      </c>
      <c r="L58" s="2"/>
      <c r="M58" s="2"/>
      <c r="N58" s="2">
        <v>84</v>
      </c>
      <c r="O58" s="2"/>
      <c r="P58" s="2">
        <f t="shared" ref="P58" si="36">H58*K58/N58</f>
        <v>0.12</v>
      </c>
      <c r="Q58" s="2"/>
      <c r="R58" s="2"/>
      <c r="S58" s="2"/>
      <c r="T58" s="2"/>
    </row>
    <row r="59" spans="1:20" ht="15.5" x14ac:dyDescent="0.35">
      <c r="A59" s="1"/>
      <c r="B59" s="1"/>
      <c r="C59" s="1"/>
      <c r="D59" s="1"/>
      <c r="E59" s="2" t="s">
        <v>72</v>
      </c>
      <c r="F59" s="2"/>
      <c r="G59" s="2"/>
      <c r="H59" s="2">
        <v>6</v>
      </c>
      <c r="I59" s="2"/>
      <c r="J59" s="2"/>
      <c r="K59" s="2">
        <v>1.3</v>
      </c>
      <c r="L59" s="2"/>
      <c r="M59" s="2"/>
      <c r="N59" s="2">
        <v>55</v>
      </c>
      <c r="O59" s="2"/>
      <c r="P59" s="2">
        <f t="shared" ref="P59" si="37">H59*K59/N59</f>
        <v>0.14181818181818184</v>
      </c>
      <c r="Q59" s="2"/>
      <c r="R59" s="2"/>
      <c r="S59" s="2"/>
      <c r="T59" s="2"/>
    </row>
    <row r="60" spans="1:20" ht="15.5" x14ac:dyDescent="0.35">
      <c r="A60" s="1"/>
      <c r="B60" s="1"/>
      <c r="C60" s="1"/>
      <c r="D60" s="1"/>
      <c r="E60" s="2" t="s">
        <v>73</v>
      </c>
      <c r="F60" s="2"/>
      <c r="G60" s="2"/>
      <c r="H60" s="2">
        <v>6</v>
      </c>
      <c r="I60" s="2"/>
      <c r="J60" s="2"/>
      <c r="K60" s="2">
        <v>1.1499999999999999</v>
      </c>
      <c r="L60" s="2"/>
      <c r="M60" s="2"/>
      <c r="N60" s="2">
        <v>60</v>
      </c>
      <c r="O60" s="2"/>
      <c r="P60" s="2">
        <f t="shared" ref="P60" si="38">H60*K60/N60</f>
        <v>0.11499999999999999</v>
      </c>
      <c r="Q60" s="2"/>
      <c r="R60" s="2"/>
      <c r="S60" s="2"/>
      <c r="T60" s="2"/>
    </row>
    <row r="61" spans="1:20" ht="15.5" x14ac:dyDescent="0.35">
      <c r="A61" s="1"/>
      <c r="B61" s="1"/>
      <c r="C61" s="1"/>
      <c r="D61" s="1"/>
      <c r="E61" s="2" t="s">
        <v>75</v>
      </c>
      <c r="F61" s="2"/>
      <c r="G61" s="2"/>
      <c r="H61" s="2">
        <v>6</v>
      </c>
      <c r="I61" s="2"/>
      <c r="J61" s="2"/>
      <c r="K61" s="2">
        <v>1.1499999999999999</v>
      </c>
      <c r="L61" s="2"/>
      <c r="M61" s="2"/>
      <c r="N61" s="2">
        <v>60</v>
      </c>
      <c r="O61" s="2"/>
      <c r="P61" s="2">
        <f t="shared" ref="P61" si="39">H61*K61/N61</f>
        <v>0.11499999999999999</v>
      </c>
      <c r="Q61" s="2"/>
      <c r="R61" s="2"/>
      <c r="S61" s="2"/>
      <c r="T61" s="2"/>
    </row>
    <row r="62" spans="1:20" ht="15.5" x14ac:dyDescent="0.35">
      <c r="A62" s="1"/>
      <c r="B62" s="1"/>
      <c r="C62" s="1"/>
      <c r="D62" s="1"/>
      <c r="E62" s="2" t="s">
        <v>74</v>
      </c>
      <c r="F62" s="2"/>
      <c r="G62" s="2"/>
      <c r="H62" s="2">
        <v>6</v>
      </c>
      <c r="I62" s="2"/>
      <c r="J62" s="2"/>
      <c r="K62" s="2">
        <v>1.3</v>
      </c>
      <c r="L62" s="2"/>
      <c r="M62" s="2"/>
      <c r="N62" s="2">
        <v>55</v>
      </c>
      <c r="O62" s="2"/>
      <c r="P62" s="2">
        <f t="shared" ref="P62" si="40">H62*K62/N62</f>
        <v>0.14181818181818184</v>
      </c>
      <c r="Q62" s="2"/>
      <c r="R62" s="2"/>
      <c r="S62" s="2"/>
      <c r="T62" s="2"/>
    </row>
    <row r="63" spans="1:20" ht="15.5" x14ac:dyDescent="0.35">
      <c r="A63" s="1"/>
      <c r="B63" s="1"/>
      <c r="C63" s="1"/>
      <c r="D63" s="1"/>
      <c r="E63" s="2" t="s">
        <v>76</v>
      </c>
      <c r="F63" s="2"/>
      <c r="G63" s="2"/>
      <c r="H63" s="2">
        <v>6</v>
      </c>
      <c r="I63" s="2"/>
      <c r="J63" s="2"/>
      <c r="K63" s="2">
        <v>0.96</v>
      </c>
      <c r="L63" s="2"/>
      <c r="M63" s="2"/>
      <c r="N63" s="2">
        <v>45</v>
      </c>
      <c r="O63" s="2"/>
      <c r="P63" s="2">
        <f t="shared" ref="P63" si="41">H63*K63/N63</f>
        <v>0.128</v>
      </c>
      <c r="Q63" s="2"/>
      <c r="R63" s="2"/>
      <c r="S63" s="2"/>
      <c r="T63" s="2"/>
    </row>
    <row r="64" spans="1:20" ht="15.5" x14ac:dyDescent="0.35">
      <c r="A64" s="1"/>
      <c r="B64" s="1"/>
      <c r="C64" s="1"/>
      <c r="D64" s="1"/>
      <c r="E64" s="2" t="s">
        <v>77</v>
      </c>
      <c r="F64" s="2"/>
      <c r="G64" s="2"/>
      <c r="H64" s="2">
        <v>6</v>
      </c>
      <c r="I64" s="2"/>
      <c r="J64" s="2"/>
      <c r="K64" s="2">
        <v>2.2999999999999998</v>
      </c>
      <c r="L64" s="2"/>
      <c r="M64" s="2"/>
      <c r="N64" s="2">
        <v>121</v>
      </c>
      <c r="O64" s="2"/>
      <c r="P64" s="2">
        <f t="shared" ref="P64" si="42">H64*K64/N64</f>
        <v>0.1140495867768595</v>
      </c>
      <c r="Q64" s="2"/>
      <c r="R64" s="2"/>
      <c r="S64" s="2"/>
      <c r="T64" s="2"/>
    </row>
    <row r="65" spans="1:20" ht="15.5" x14ac:dyDescent="0.35">
      <c r="A65" s="1"/>
      <c r="B65" s="1"/>
      <c r="C65" s="1"/>
      <c r="D65" s="1"/>
      <c r="E65" s="2" t="s">
        <v>78</v>
      </c>
      <c r="F65" s="2"/>
      <c r="G65" s="2"/>
      <c r="H65" s="2">
        <v>6</v>
      </c>
      <c r="I65" s="2"/>
      <c r="J65" s="2"/>
      <c r="K65" s="2">
        <v>1.8</v>
      </c>
      <c r="L65" s="2"/>
      <c r="M65" s="2"/>
      <c r="N65" s="2">
        <v>85</v>
      </c>
      <c r="O65" s="2"/>
      <c r="P65" s="2">
        <f t="shared" ref="P65" si="43">H65*K65/N65</f>
        <v>0.12705882352941178</v>
      </c>
      <c r="Q65" s="2"/>
      <c r="R65" s="2"/>
      <c r="S65" s="2"/>
      <c r="T65" s="2"/>
    </row>
    <row r="66" spans="1:20" ht="15.5" x14ac:dyDescent="0.35">
      <c r="A66" s="1"/>
      <c r="B66" s="1"/>
      <c r="C66" s="1"/>
      <c r="D66" s="1"/>
      <c r="E66" s="2" t="s">
        <v>79</v>
      </c>
      <c r="F66" s="2"/>
      <c r="G66" s="2"/>
      <c r="H66" s="2">
        <v>6</v>
      </c>
      <c r="I66" s="2"/>
      <c r="J66" s="2"/>
      <c r="K66" s="2">
        <v>0.96</v>
      </c>
      <c r="L66" s="2"/>
      <c r="M66" s="2"/>
      <c r="N66" s="2">
        <v>60</v>
      </c>
      <c r="O66" s="2"/>
      <c r="P66" s="2">
        <f t="shared" ref="P66" si="44">H66*K66/N66</f>
        <v>9.6000000000000002E-2</v>
      </c>
      <c r="Q66" s="2"/>
      <c r="R66" s="2"/>
      <c r="S66" s="2"/>
      <c r="T66" s="2"/>
    </row>
    <row r="67" spans="1:20" ht="15.5" x14ac:dyDescent="0.35">
      <c r="A67" s="1"/>
      <c r="B67" s="1"/>
      <c r="C67" s="1"/>
      <c r="D67" s="1"/>
      <c r="E67" s="2" t="s">
        <v>80</v>
      </c>
      <c r="F67" s="2"/>
      <c r="G67" s="2"/>
      <c r="H67" s="2">
        <v>6</v>
      </c>
      <c r="I67" s="2"/>
      <c r="J67" s="2"/>
      <c r="K67" s="2">
        <v>1.1499999999999999</v>
      </c>
      <c r="L67" s="2"/>
      <c r="M67" s="2"/>
      <c r="N67" s="2">
        <v>60</v>
      </c>
      <c r="O67" s="2"/>
      <c r="P67" s="2">
        <f t="shared" ref="P67" si="45">H67*K67/N67</f>
        <v>0.11499999999999999</v>
      </c>
      <c r="Q67" s="2"/>
      <c r="R67" s="2"/>
      <c r="S67" s="2"/>
      <c r="T67" s="2"/>
    </row>
    <row r="68" spans="1:20" ht="15.5" x14ac:dyDescent="0.35">
      <c r="A68" s="6" t="s">
        <v>81</v>
      </c>
      <c r="B68" s="6"/>
      <c r="C68" s="6"/>
      <c r="D68" s="6"/>
      <c r="E68" s="7" t="s">
        <v>82</v>
      </c>
      <c r="F68" s="7"/>
      <c r="G68" s="7"/>
      <c r="H68" s="7">
        <v>6</v>
      </c>
      <c r="I68" s="7"/>
      <c r="J68" s="7"/>
      <c r="K68" s="7">
        <v>3.6</v>
      </c>
      <c r="L68" s="7"/>
      <c r="M68" s="7"/>
      <c r="N68" s="7">
        <v>200</v>
      </c>
      <c r="O68" s="7"/>
      <c r="P68" s="7">
        <f t="shared" ref="P68" si="46">H68*K68/N68</f>
        <v>0.10800000000000001</v>
      </c>
      <c r="Q68" s="7"/>
      <c r="R68" s="7"/>
      <c r="S68" s="7"/>
      <c r="T68" s="7"/>
    </row>
    <row r="69" spans="1:20" ht="15.5" x14ac:dyDescent="0.35">
      <c r="A69" s="6" t="s">
        <v>87</v>
      </c>
      <c r="B69" s="6"/>
      <c r="C69" s="6"/>
      <c r="D69" s="6"/>
      <c r="E69" s="7" t="s">
        <v>88</v>
      </c>
      <c r="F69" s="7"/>
      <c r="G69" s="7"/>
      <c r="H69" s="7">
        <v>6</v>
      </c>
      <c r="I69" s="7"/>
      <c r="J69" s="7"/>
      <c r="K69" s="7">
        <v>3</v>
      </c>
      <c r="L69" s="7"/>
      <c r="M69" s="7"/>
      <c r="N69" s="7">
        <v>320</v>
      </c>
      <c r="O69" s="7"/>
      <c r="P69" s="7">
        <f t="shared" ref="P69" si="47">H69*K69/N69</f>
        <v>5.6250000000000001E-2</v>
      </c>
      <c r="Q69" s="7"/>
      <c r="R69" s="7"/>
      <c r="S69" s="7"/>
      <c r="T69" s="7"/>
    </row>
    <row r="70" spans="1:20" ht="15.5" x14ac:dyDescent="0.35">
      <c r="A70" s="1" t="s">
        <v>89</v>
      </c>
      <c r="B70" s="1"/>
      <c r="C70" s="1"/>
      <c r="D70" s="1"/>
      <c r="E70" s="2" t="s">
        <v>90</v>
      </c>
      <c r="F70" s="2"/>
      <c r="G70" s="2"/>
      <c r="H70" s="2">
        <v>6</v>
      </c>
      <c r="I70" s="2"/>
      <c r="J70" s="2"/>
      <c r="K70" s="2">
        <v>4.32</v>
      </c>
      <c r="L70" s="2"/>
      <c r="M70" s="2"/>
      <c r="N70" s="2">
        <v>140</v>
      </c>
      <c r="O70" s="2"/>
      <c r="P70" s="2">
        <f t="shared" ref="P70" si="48">H70*K70/N70</f>
        <v>0.18514285714285716</v>
      </c>
      <c r="Q70" s="2"/>
      <c r="R70" s="2"/>
      <c r="S70" s="2"/>
      <c r="T70" s="2"/>
    </row>
    <row r="71" spans="1:20" ht="15.5" x14ac:dyDescent="0.35">
      <c r="A71" s="1"/>
      <c r="B71" s="1"/>
      <c r="C71" s="1"/>
      <c r="D71" s="1"/>
      <c r="E71" s="2" t="s">
        <v>99</v>
      </c>
      <c r="F71" s="2"/>
      <c r="G71" s="2"/>
      <c r="H71" s="2">
        <v>6</v>
      </c>
      <c r="I71" s="2"/>
      <c r="J71" s="2"/>
      <c r="K71" s="2">
        <v>4.32</v>
      </c>
      <c r="L71" s="2"/>
      <c r="M71" s="2"/>
      <c r="N71" s="2">
        <v>140</v>
      </c>
      <c r="O71" s="2"/>
      <c r="P71" s="2">
        <f t="shared" ref="P71:P76" si="49">H71*K71/N71</f>
        <v>0.18514285714285716</v>
      </c>
      <c r="Q71" s="2"/>
      <c r="R71" s="2"/>
      <c r="S71" s="2"/>
      <c r="T71" s="2"/>
    </row>
    <row r="72" spans="1:20" ht="15.5" x14ac:dyDescent="0.35">
      <c r="A72" s="1"/>
      <c r="B72" s="1"/>
      <c r="C72" s="1"/>
      <c r="D72" s="1"/>
      <c r="E72" s="2" t="s">
        <v>100</v>
      </c>
      <c r="F72" s="2"/>
      <c r="G72" s="2"/>
      <c r="H72" s="2">
        <v>6</v>
      </c>
      <c r="I72" s="2"/>
      <c r="J72" s="2"/>
      <c r="K72" s="2">
        <v>4.32</v>
      </c>
      <c r="L72" s="2"/>
      <c r="M72" s="2"/>
      <c r="N72" s="2">
        <v>140</v>
      </c>
      <c r="O72" s="2"/>
      <c r="P72" s="2">
        <f t="shared" si="49"/>
        <v>0.18514285714285716</v>
      </c>
      <c r="Q72" s="2"/>
      <c r="R72" s="2"/>
      <c r="S72" s="2"/>
      <c r="T72" s="2"/>
    </row>
    <row r="73" spans="1:20" ht="15.5" x14ac:dyDescent="0.35">
      <c r="A73" s="1"/>
      <c r="B73" s="1"/>
      <c r="C73" s="1"/>
      <c r="D73" s="1"/>
      <c r="E73" s="2" t="s">
        <v>90</v>
      </c>
      <c r="F73" s="2"/>
      <c r="G73" s="2"/>
      <c r="H73" s="2">
        <v>6</v>
      </c>
      <c r="I73" s="2"/>
      <c r="J73" s="2"/>
      <c r="K73" s="2">
        <v>4.32</v>
      </c>
      <c r="L73" s="2"/>
      <c r="M73" s="2"/>
      <c r="N73" s="2">
        <v>140</v>
      </c>
      <c r="O73" s="2"/>
      <c r="P73" s="2">
        <f t="shared" si="49"/>
        <v>0.18514285714285716</v>
      </c>
      <c r="Q73" s="2"/>
      <c r="R73" s="2"/>
      <c r="S73" s="2"/>
      <c r="T73" s="2"/>
    </row>
    <row r="74" spans="1:20" ht="15.5" x14ac:dyDescent="0.35">
      <c r="A74" s="1"/>
      <c r="B74" s="1"/>
      <c r="C74" s="1"/>
      <c r="D74" s="1"/>
      <c r="E74" s="2" t="s">
        <v>90</v>
      </c>
      <c r="F74" s="2"/>
      <c r="G74" s="2"/>
      <c r="H74" s="2">
        <v>6</v>
      </c>
      <c r="I74" s="2"/>
      <c r="J74" s="2"/>
      <c r="K74" s="2">
        <v>4.32</v>
      </c>
      <c r="L74" s="2"/>
      <c r="M74" s="2"/>
      <c r="N74" s="2">
        <v>140</v>
      </c>
      <c r="O74" s="2"/>
      <c r="P74" s="2">
        <f t="shared" si="49"/>
        <v>0.18514285714285716</v>
      </c>
      <c r="Q74" s="2"/>
      <c r="R74" s="2"/>
      <c r="S74" s="2"/>
      <c r="T74" s="2"/>
    </row>
    <row r="75" spans="1:20" ht="15.5" x14ac:dyDescent="0.35">
      <c r="A75" s="1"/>
      <c r="B75" s="1"/>
      <c r="C75" s="1"/>
      <c r="D75" s="1"/>
      <c r="E75" s="2" t="s">
        <v>90</v>
      </c>
      <c r="F75" s="2"/>
      <c r="G75" s="2"/>
      <c r="H75" s="2">
        <v>6</v>
      </c>
      <c r="I75" s="2"/>
      <c r="J75" s="2"/>
      <c r="K75" s="2">
        <v>4.32</v>
      </c>
      <c r="L75" s="2"/>
      <c r="M75" s="2"/>
      <c r="N75" s="2">
        <v>140</v>
      </c>
      <c r="O75" s="2"/>
      <c r="P75" s="2">
        <f t="shared" si="49"/>
        <v>0.18514285714285716</v>
      </c>
      <c r="Q75" s="2"/>
      <c r="R75" s="2"/>
      <c r="S75" s="2"/>
      <c r="T75" s="2"/>
    </row>
    <row r="76" spans="1:20" ht="15.5" x14ac:dyDescent="0.35">
      <c r="A76" s="1"/>
      <c r="B76" s="1"/>
      <c r="C76" s="1"/>
      <c r="D76" s="1"/>
      <c r="E76" s="2" t="s">
        <v>90</v>
      </c>
      <c r="F76" s="2"/>
      <c r="G76" s="2"/>
      <c r="H76" s="2">
        <v>6</v>
      </c>
      <c r="I76" s="2"/>
      <c r="J76" s="2"/>
      <c r="K76" s="2">
        <v>4.32</v>
      </c>
      <c r="L76" s="2"/>
      <c r="M76" s="2"/>
      <c r="N76" s="2">
        <v>140</v>
      </c>
      <c r="O76" s="2"/>
      <c r="P76" s="2">
        <f t="shared" si="49"/>
        <v>0.18514285714285716</v>
      </c>
      <c r="Q76" s="2"/>
      <c r="R76" s="2"/>
      <c r="S76" s="2"/>
      <c r="T76" s="2"/>
    </row>
    <row r="77" spans="1:20" ht="15.5" x14ac:dyDescent="0.35">
      <c r="A77" s="1" t="s">
        <v>91</v>
      </c>
      <c r="B77" s="1"/>
      <c r="C77" s="1"/>
      <c r="D77" s="1"/>
      <c r="E77" s="2" t="s">
        <v>92</v>
      </c>
      <c r="F77" s="2"/>
      <c r="G77" s="2"/>
      <c r="H77" s="2">
        <v>6</v>
      </c>
      <c r="I77" s="2"/>
      <c r="J77" s="2"/>
      <c r="K77" s="2">
        <v>1.2</v>
      </c>
      <c r="L77" s="2"/>
      <c r="M77" s="2"/>
      <c r="N77" s="2">
        <v>70</v>
      </c>
      <c r="O77" s="2"/>
      <c r="P77" s="2">
        <f t="shared" ref="P77" si="50">H77*K77/N77</f>
        <v>0.10285714285714284</v>
      </c>
      <c r="Q77" s="2"/>
      <c r="R77" s="2"/>
      <c r="S77" s="2"/>
      <c r="T77" s="2"/>
    </row>
    <row r="78" spans="1:20" x14ac:dyDescent="0.35">
      <c r="A78" s="5"/>
      <c r="B78" s="5"/>
      <c r="C78" s="5"/>
      <c r="D78" s="5"/>
      <c r="E78" s="2" t="s">
        <v>93</v>
      </c>
      <c r="F78" s="2"/>
      <c r="G78" s="2"/>
      <c r="H78" s="2">
        <v>6</v>
      </c>
      <c r="I78" s="2"/>
      <c r="J78" s="2"/>
      <c r="K78" s="2">
        <v>1.32</v>
      </c>
      <c r="L78" s="2"/>
      <c r="M78" s="2"/>
      <c r="N78" s="2">
        <v>70</v>
      </c>
      <c r="O78" s="2"/>
      <c r="P78" s="2">
        <f t="shared" ref="P78" si="51">H78*K78/N78</f>
        <v>0.11314285714285714</v>
      </c>
      <c r="Q78" s="2"/>
      <c r="R78" s="2"/>
      <c r="S78" s="2"/>
      <c r="T78" s="2"/>
    </row>
    <row r="79" spans="1:20" x14ac:dyDescent="0.35">
      <c r="A79" s="5"/>
      <c r="B79" s="5"/>
      <c r="C79" s="5"/>
      <c r="D79" s="5"/>
      <c r="E79" s="2" t="s">
        <v>94</v>
      </c>
      <c r="F79" s="2"/>
      <c r="G79" s="2"/>
      <c r="H79" s="2">
        <v>6</v>
      </c>
      <c r="I79" s="2"/>
      <c r="J79" s="2"/>
      <c r="K79" s="2">
        <v>0.96</v>
      </c>
      <c r="L79" s="2"/>
      <c r="M79" s="2"/>
      <c r="N79" s="2">
        <v>60</v>
      </c>
      <c r="O79" s="2"/>
      <c r="P79" s="2">
        <f t="shared" ref="P79" si="52">H79*K79/N79</f>
        <v>9.6000000000000002E-2</v>
      </c>
      <c r="Q79" s="2"/>
      <c r="R79" s="2"/>
      <c r="S79" s="2"/>
      <c r="T79" s="2"/>
    </row>
    <row r="80" spans="1:20" x14ac:dyDescent="0.35">
      <c r="A80" s="5"/>
      <c r="B80" s="5"/>
      <c r="C80" s="5"/>
      <c r="D80" s="5"/>
      <c r="E80" s="2" t="s">
        <v>95</v>
      </c>
      <c r="F80" s="2"/>
      <c r="G80" s="2"/>
      <c r="H80" s="2">
        <v>6</v>
      </c>
      <c r="I80" s="2"/>
      <c r="J80" s="2"/>
      <c r="K80" s="2">
        <v>1.1499999999999999</v>
      </c>
      <c r="L80" s="2"/>
      <c r="M80" s="2"/>
      <c r="N80" s="2">
        <v>60</v>
      </c>
      <c r="O80" s="2"/>
      <c r="P80" s="2">
        <f t="shared" ref="P80" si="53">H80*K80/N80</f>
        <v>0.11499999999999999</v>
      </c>
      <c r="Q80" s="2"/>
      <c r="R80" s="2"/>
      <c r="S80" s="2"/>
      <c r="T80" s="2"/>
    </row>
    <row r="81" spans="1:20" x14ac:dyDescent="0.35">
      <c r="A81" s="5"/>
      <c r="B81" s="5"/>
      <c r="C81" s="5"/>
      <c r="D81" s="5"/>
      <c r="E81" s="2" t="s">
        <v>96</v>
      </c>
      <c r="F81" s="2"/>
      <c r="G81" s="2"/>
      <c r="H81" s="2">
        <v>6</v>
      </c>
      <c r="I81" s="2"/>
      <c r="J81" s="2"/>
      <c r="K81" s="2">
        <v>1.2</v>
      </c>
      <c r="L81" s="2"/>
      <c r="M81" s="2"/>
      <c r="N81" s="2">
        <v>70</v>
      </c>
      <c r="O81" s="2"/>
      <c r="P81" s="2">
        <f t="shared" ref="P81" si="54">H81*K81/N81</f>
        <v>0.10285714285714284</v>
      </c>
      <c r="Q81" s="2"/>
      <c r="R81" s="2"/>
      <c r="S81" s="2"/>
      <c r="T81" s="2"/>
    </row>
    <row r="82" spans="1:20" x14ac:dyDescent="0.35">
      <c r="A82" s="5"/>
      <c r="B82" s="5"/>
      <c r="C82" s="5"/>
      <c r="D82" s="5"/>
      <c r="E82" s="2" t="s">
        <v>97</v>
      </c>
      <c r="F82" s="2"/>
      <c r="G82" s="2"/>
      <c r="H82" s="2">
        <v>6</v>
      </c>
      <c r="I82" s="2"/>
      <c r="J82" s="2"/>
      <c r="K82" s="2">
        <v>1.32</v>
      </c>
      <c r="L82" s="2"/>
      <c r="M82" s="2"/>
      <c r="N82" s="2">
        <v>70</v>
      </c>
      <c r="O82" s="2"/>
      <c r="P82" s="2">
        <f t="shared" ref="P82" si="55">H82*K82/N82</f>
        <v>0.11314285714285714</v>
      </c>
      <c r="Q82" s="2"/>
      <c r="R82" s="2"/>
      <c r="S82" s="2"/>
      <c r="T82" s="2"/>
    </row>
    <row r="83" spans="1:20" x14ac:dyDescent="0.35">
      <c r="A83" s="5"/>
      <c r="B83" s="5"/>
      <c r="C83" s="5"/>
      <c r="D83" s="5"/>
      <c r="E83" s="2" t="s">
        <v>98</v>
      </c>
      <c r="F83" s="2"/>
      <c r="G83" s="2"/>
      <c r="H83" s="2">
        <v>6</v>
      </c>
      <c r="I83" s="2"/>
      <c r="J83" s="2"/>
      <c r="K83" s="2">
        <v>2.88</v>
      </c>
      <c r="L83" s="2"/>
      <c r="M83" s="2"/>
      <c r="N83" s="2">
        <v>120</v>
      </c>
      <c r="O83" s="2"/>
      <c r="P83" s="2">
        <f t="shared" ref="P83" si="56">H83*K83/N83</f>
        <v>0.14400000000000002</v>
      </c>
      <c r="Q83" s="2"/>
      <c r="R83" s="2"/>
      <c r="S83" s="2"/>
      <c r="T83" s="2"/>
    </row>
    <row r="84" spans="1:20" x14ac:dyDescent="0.35">
      <c r="A84" s="4"/>
      <c r="B84" s="4"/>
      <c r="C84" s="4"/>
      <c r="D84" s="4"/>
      <c r="E84" s="4"/>
      <c r="F84" s="4"/>
      <c r="G84" s="4"/>
      <c r="H84" s="4">
        <v>6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 x14ac:dyDescent="0.35">
      <c r="A85" s="4"/>
      <c r="B85" s="4"/>
      <c r="C85" s="4"/>
      <c r="D85" s="4"/>
      <c r="E85" s="4"/>
      <c r="F85" s="4"/>
      <c r="G85" s="4"/>
      <c r="H85" s="4">
        <v>6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 x14ac:dyDescent="0.35">
      <c r="A86" s="4"/>
      <c r="B86" s="4"/>
      <c r="C86" s="4"/>
      <c r="D86" s="4"/>
      <c r="E86" s="4"/>
      <c r="F86" s="4"/>
      <c r="G86" s="4"/>
      <c r="H86" s="4">
        <v>6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 x14ac:dyDescent="0.35">
      <c r="A87" s="4"/>
      <c r="B87" s="4"/>
      <c r="C87" s="4"/>
      <c r="D87" s="4"/>
      <c r="E87" s="4"/>
      <c r="F87" s="4"/>
      <c r="G87" s="4"/>
      <c r="H87" s="4">
        <v>6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 x14ac:dyDescent="0.35">
      <c r="A88" s="4"/>
      <c r="B88" s="4"/>
      <c r="C88" s="4"/>
      <c r="D88" s="4"/>
      <c r="E88" s="4"/>
      <c r="F88" s="4"/>
      <c r="G88" s="4"/>
      <c r="H88" s="4">
        <v>6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x14ac:dyDescent="0.35">
      <c r="A89" s="4"/>
      <c r="B89" s="4"/>
      <c r="C89" s="4"/>
      <c r="D89" s="4"/>
      <c r="E89" s="4"/>
      <c r="F89" s="4"/>
      <c r="G89" s="4"/>
      <c r="H89" s="4">
        <v>6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x14ac:dyDescent="0.35">
      <c r="A90" s="4"/>
      <c r="B90" s="4"/>
      <c r="C90" s="4"/>
      <c r="D90" s="4"/>
      <c r="E90" s="4"/>
      <c r="F90" s="4"/>
      <c r="G90" s="4"/>
      <c r="H90" s="4">
        <v>6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 x14ac:dyDescent="0.35">
      <c r="A91" s="4"/>
      <c r="B91" s="4"/>
      <c r="C91" s="4"/>
      <c r="D91" s="4"/>
      <c r="E91" s="4"/>
      <c r="F91" s="4"/>
      <c r="G91" s="4"/>
      <c r="H91" s="4">
        <v>6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 x14ac:dyDescent="0.35">
      <c r="A92" s="4"/>
      <c r="B92" s="4"/>
      <c r="C92" s="4"/>
      <c r="D92" s="4"/>
      <c r="E92" s="4"/>
      <c r="F92" s="4"/>
      <c r="G92" s="4"/>
      <c r="H92" s="4">
        <v>6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 x14ac:dyDescent="0.35">
      <c r="A93" s="4"/>
      <c r="B93" s="4"/>
      <c r="C93" s="4"/>
      <c r="D93" s="4"/>
      <c r="E93" s="4"/>
      <c r="F93" s="4"/>
      <c r="G93" s="4"/>
      <c r="H93" s="4">
        <v>6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x14ac:dyDescent="0.35">
      <c r="A94" s="4"/>
      <c r="B94" s="4"/>
      <c r="C94" s="4"/>
      <c r="D94" s="4"/>
      <c r="E94" s="4"/>
      <c r="F94" s="4"/>
      <c r="G94" s="4"/>
      <c r="H94" s="4">
        <v>6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 x14ac:dyDescent="0.35">
      <c r="A95" s="4"/>
      <c r="B95" s="4"/>
      <c r="C95" s="4"/>
      <c r="D95" s="4"/>
      <c r="E95" s="4"/>
      <c r="F95" s="4"/>
      <c r="G95" s="4"/>
      <c r="H95" s="4">
        <v>6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x14ac:dyDescent="0.35">
      <c r="A96" s="4"/>
      <c r="B96" s="4"/>
      <c r="C96" s="4"/>
      <c r="D96" s="4"/>
      <c r="E96" s="4"/>
      <c r="F96" s="4"/>
      <c r="G96" s="4"/>
      <c r="H96" s="4">
        <v>6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x14ac:dyDescent="0.35">
      <c r="A97" s="4"/>
      <c r="B97" s="4"/>
      <c r="C97" s="4"/>
      <c r="D97" s="4"/>
      <c r="E97" s="4"/>
      <c r="F97" s="4"/>
      <c r="G97" s="4"/>
      <c r="H97" s="4">
        <v>6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x14ac:dyDescent="0.35">
      <c r="A98" s="4"/>
      <c r="B98" s="4"/>
      <c r="C98" s="4"/>
      <c r="D98" s="4"/>
      <c r="E98" s="4"/>
      <c r="F98" s="4"/>
      <c r="G98" s="4"/>
      <c r="H98" s="4">
        <v>6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x14ac:dyDescent="0.35">
      <c r="A99" s="4"/>
      <c r="B99" s="4"/>
      <c r="C99" s="4"/>
      <c r="D99" s="4"/>
      <c r="E99" s="4"/>
      <c r="F99" s="4"/>
      <c r="G99" s="4"/>
      <c r="H99" s="4">
        <v>6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x14ac:dyDescent="0.35">
      <c r="A100" s="4"/>
      <c r="B100" s="4"/>
      <c r="C100" s="4"/>
      <c r="D100" s="4"/>
      <c r="E100" s="4"/>
      <c r="F100" s="4"/>
      <c r="G100" s="4"/>
      <c r="H100" s="4">
        <v>6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x14ac:dyDescent="0.35">
      <c r="A101" s="4"/>
      <c r="B101" s="4"/>
      <c r="C101" s="4"/>
      <c r="D101" s="4"/>
      <c r="E101" s="4"/>
      <c r="F101" s="4"/>
      <c r="G101" s="4"/>
      <c r="H101" s="4">
        <v>6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x14ac:dyDescent="0.35">
      <c r="A102" s="4"/>
      <c r="B102" s="4"/>
      <c r="C102" s="4"/>
      <c r="D102" s="4"/>
      <c r="E102" s="4"/>
      <c r="F102" s="4"/>
      <c r="G102" s="4"/>
      <c r="H102" s="4">
        <v>6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x14ac:dyDescent="0.35">
      <c r="A103" s="4"/>
      <c r="B103" s="4"/>
      <c r="C103" s="4"/>
      <c r="D103" s="4"/>
      <c r="E103" s="4"/>
      <c r="F103" s="4"/>
      <c r="G103" s="4"/>
      <c r="H103" s="4">
        <v>6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x14ac:dyDescent="0.35">
      <c r="A104" s="4"/>
      <c r="B104" s="4"/>
      <c r="C104" s="4"/>
      <c r="D104" s="4"/>
      <c r="E104" s="4"/>
      <c r="F104" s="4"/>
      <c r="G104" s="4"/>
      <c r="H104" s="4">
        <v>6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x14ac:dyDescent="0.35">
      <c r="A105" s="4"/>
      <c r="B105" s="4"/>
      <c r="C105" s="4"/>
      <c r="D105" s="4"/>
      <c r="E105" s="4"/>
      <c r="F105" s="4"/>
      <c r="G105" s="4"/>
      <c r="H105" s="4">
        <v>6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 x14ac:dyDescent="0.35">
      <c r="A106" s="4"/>
      <c r="B106" s="4"/>
      <c r="C106" s="4"/>
      <c r="D106" s="4"/>
      <c r="E106" s="4"/>
      <c r="F106" s="4"/>
      <c r="G106" s="4"/>
      <c r="H106" s="4">
        <v>6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 x14ac:dyDescent="0.35">
      <c r="A107" s="4"/>
      <c r="B107" s="4"/>
      <c r="C107" s="4"/>
      <c r="D107" s="4"/>
      <c r="E107" s="4"/>
      <c r="F107" s="4"/>
      <c r="G107" s="4"/>
      <c r="H107" s="4">
        <v>6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 x14ac:dyDescent="0.35">
      <c r="A108" s="4"/>
      <c r="B108" s="4"/>
      <c r="C108" s="4"/>
      <c r="D108" s="4"/>
      <c r="E108" s="4"/>
      <c r="F108" s="4"/>
      <c r="G108" s="4"/>
      <c r="H108" s="4">
        <v>6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 x14ac:dyDescent="0.35">
      <c r="A109" s="4"/>
      <c r="B109" s="4"/>
      <c r="C109" s="4"/>
      <c r="D109" s="4"/>
      <c r="E109" s="4"/>
      <c r="F109" s="4"/>
      <c r="G109" s="4"/>
      <c r="H109" s="4">
        <v>6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 x14ac:dyDescent="0.35">
      <c r="A110" s="4"/>
      <c r="B110" s="4"/>
      <c r="C110" s="4"/>
      <c r="D110" s="4"/>
      <c r="E110" s="4"/>
      <c r="F110" s="4"/>
      <c r="G110" s="4"/>
      <c r="H110" s="4">
        <v>6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 x14ac:dyDescent="0.35">
      <c r="A111" s="4"/>
      <c r="B111" s="4"/>
      <c r="C111" s="4"/>
      <c r="D111" s="4"/>
      <c r="E111" s="4"/>
      <c r="F111" s="4"/>
      <c r="G111" s="4"/>
      <c r="H111" s="4">
        <v>6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 x14ac:dyDescent="0.35">
      <c r="A112" s="4"/>
      <c r="B112" s="4"/>
      <c r="C112" s="4"/>
      <c r="D112" s="4"/>
      <c r="E112" s="4"/>
      <c r="F112" s="4"/>
      <c r="G112" s="4"/>
      <c r="H112" s="4">
        <v>6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</sheetData>
  <mergeCells count="631">
    <mergeCell ref="P8:T8"/>
    <mergeCell ref="A9:D9"/>
    <mergeCell ref="E9:G9"/>
    <mergeCell ref="H9:J9"/>
    <mergeCell ref="K9:M9"/>
    <mergeCell ref="N9:O9"/>
    <mergeCell ref="P9:T9"/>
    <mergeCell ref="A1:O5"/>
    <mergeCell ref="A8:D8"/>
    <mergeCell ref="E8:G8"/>
    <mergeCell ref="H8:J8"/>
    <mergeCell ref="K8:M8"/>
    <mergeCell ref="N8:O8"/>
    <mergeCell ref="A11:D11"/>
    <mergeCell ref="E11:G11"/>
    <mergeCell ref="H11:J11"/>
    <mergeCell ref="K11:M11"/>
    <mergeCell ref="N11:O11"/>
    <mergeCell ref="P11:T11"/>
    <mergeCell ref="A10:D10"/>
    <mergeCell ref="E10:G10"/>
    <mergeCell ref="H10:J10"/>
    <mergeCell ref="K10:M10"/>
    <mergeCell ref="N10:O10"/>
    <mergeCell ref="P10:T10"/>
    <mergeCell ref="A13:D13"/>
    <mergeCell ref="E13:G13"/>
    <mergeCell ref="H13:J13"/>
    <mergeCell ref="K13:M13"/>
    <mergeCell ref="N13:O13"/>
    <mergeCell ref="P13:T13"/>
    <mergeCell ref="A12:D12"/>
    <mergeCell ref="E12:G12"/>
    <mergeCell ref="H12:J12"/>
    <mergeCell ref="K12:M12"/>
    <mergeCell ref="N12:O12"/>
    <mergeCell ref="P12:T12"/>
    <mergeCell ref="A15:D15"/>
    <mergeCell ref="E15:G15"/>
    <mergeCell ref="H15:J15"/>
    <mergeCell ref="K15:M15"/>
    <mergeCell ref="N15:O15"/>
    <mergeCell ref="P15:T15"/>
    <mergeCell ref="A14:D14"/>
    <mergeCell ref="E14:G14"/>
    <mergeCell ref="H14:J14"/>
    <mergeCell ref="K14:M14"/>
    <mergeCell ref="N14:O14"/>
    <mergeCell ref="P14:T14"/>
    <mergeCell ref="A17:D17"/>
    <mergeCell ref="E17:G17"/>
    <mergeCell ref="H17:J17"/>
    <mergeCell ref="K17:M17"/>
    <mergeCell ref="N17:O17"/>
    <mergeCell ref="P17:T17"/>
    <mergeCell ref="A16:D16"/>
    <mergeCell ref="E16:G16"/>
    <mergeCell ref="H16:J16"/>
    <mergeCell ref="K16:M16"/>
    <mergeCell ref="N16:O16"/>
    <mergeCell ref="P16:T16"/>
    <mergeCell ref="A23:D23"/>
    <mergeCell ref="E23:G23"/>
    <mergeCell ref="H23:J23"/>
    <mergeCell ref="K23:M23"/>
    <mergeCell ref="N23:O23"/>
    <mergeCell ref="P23:T23"/>
    <mergeCell ref="A18:D18"/>
    <mergeCell ref="E18:G18"/>
    <mergeCell ref="H18:J18"/>
    <mergeCell ref="K18:M18"/>
    <mergeCell ref="N18:O18"/>
    <mergeCell ref="P18:T18"/>
    <mergeCell ref="A25:D25"/>
    <mergeCell ref="E25:G25"/>
    <mergeCell ref="H25:J25"/>
    <mergeCell ref="K25:M25"/>
    <mergeCell ref="N25:O25"/>
    <mergeCell ref="P25:T25"/>
    <mergeCell ref="A24:D24"/>
    <mergeCell ref="E24:G24"/>
    <mergeCell ref="H24:J24"/>
    <mergeCell ref="K24:M24"/>
    <mergeCell ref="N24:O24"/>
    <mergeCell ref="P24:T24"/>
    <mergeCell ref="A27:D27"/>
    <mergeCell ref="E27:G27"/>
    <mergeCell ref="H27:J27"/>
    <mergeCell ref="K27:M27"/>
    <mergeCell ref="N27:O27"/>
    <mergeCell ref="P27:T27"/>
    <mergeCell ref="A26:D26"/>
    <mergeCell ref="E26:G26"/>
    <mergeCell ref="H26:J26"/>
    <mergeCell ref="K26:M26"/>
    <mergeCell ref="N26:O26"/>
    <mergeCell ref="P26:T26"/>
    <mergeCell ref="A29:D29"/>
    <mergeCell ref="E29:G29"/>
    <mergeCell ref="H29:J29"/>
    <mergeCell ref="K29:M29"/>
    <mergeCell ref="N29:O29"/>
    <mergeCell ref="P29:T29"/>
    <mergeCell ref="A28:D28"/>
    <mergeCell ref="E28:G28"/>
    <mergeCell ref="H28:J28"/>
    <mergeCell ref="K28:M28"/>
    <mergeCell ref="N28:O28"/>
    <mergeCell ref="P28:T28"/>
    <mergeCell ref="A31:D31"/>
    <mergeCell ref="E31:G31"/>
    <mergeCell ref="H31:J31"/>
    <mergeCell ref="K31:M31"/>
    <mergeCell ref="N31:O31"/>
    <mergeCell ref="P31:T31"/>
    <mergeCell ref="A30:D30"/>
    <mergeCell ref="E30:G30"/>
    <mergeCell ref="H30:J30"/>
    <mergeCell ref="K30:M30"/>
    <mergeCell ref="N30:O30"/>
    <mergeCell ref="P30:T30"/>
    <mergeCell ref="A33:D33"/>
    <mergeCell ref="E33:G33"/>
    <mergeCell ref="H33:J33"/>
    <mergeCell ref="K33:M33"/>
    <mergeCell ref="N33:O33"/>
    <mergeCell ref="P33:T33"/>
    <mergeCell ref="A32:D32"/>
    <mergeCell ref="E32:G32"/>
    <mergeCell ref="H32:J32"/>
    <mergeCell ref="K32:M32"/>
    <mergeCell ref="N32:O32"/>
    <mergeCell ref="P32:T32"/>
    <mergeCell ref="A35:D35"/>
    <mergeCell ref="E35:G35"/>
    <mergeCell ref="H35:J35"/>
    <mergeCell ref="K35:M35"/>
    <mergeCell ref="N35:O35"/>
    <mergeCell ref="P35:T35"/>
    <mergeCell ref="A34:D34"/>
    <mergeCell ref="E34:G34"/>
    <mergeCell ref="H34:J34"/>
    <mergeCell ref="K34:M34"/>
    <mergeCell ref="N34:O34"/>
    <mergeCell ref="P34:T34"/>
    <mergeCell ref="A37:D37"/>
    <mergeCell ref="E37:G37"/>
    <mergeCell ref="H37:J37"/>
    <mergeCell ref="K37:M37"/>
    <mergeCell ref="N37:O37"/>
    <mergeCell ref="P37:T37"/>
    <mergeCell ref="A36:D36"/>
    <mergeCell ref="E36:G36"/>
    <mergeCell ref="H36:J36"/>
    <mergeCell ref="K36:M36"/>
    <mergeCell ref="N36:O36"/>
    <mergeCell ref="P36:T36"/>
    <mergeCell ref="A39:D39"/>
    <mergeCell ref="E39:G39"/>
    <mergeCell ref="H39:J39"/>
    <mergeCell ref="K39:M39"/>
    <mergeCell ref="N39:O39"/>
    <mergeCell ref="P39:T39"/>
    <mergeCell ref="A38:D38"/>
    <mergeCell ref="E38:G38"/>
    <mergeCell ref="H38:J38"/>
    <mergeCell ref="K38:M38"/>
    <mergeCell ref="N38:O38"/>
    <mergeCell ref="P38:T38"/>
    <mergeCell ref="A41:D41"/>
    <mergeCell ref="E41:G41"/>
    <mergeCell ref="H41:J41"/>
    <mergeCell ref="K41:M41"/>
    <mergeCell ref="N41:O41"/>
    <mergeCell ref="P41:T41"/>
    <mergeCell ref="A40:D40"/>
    <mergeCell ref="E40:G40"/>
    <mergeCell ref="H40:J40"/>
    <mergeCell ref="K40:M40"/>
    <mergeCell ref="N40:O40"/>
    <mergeCell ref="P40:T40"/>
    <mergeCell ref="A43:D43"/>
    <mergeCell ref="E43:G43"/>
    <mergeCell ref="H43:J43"/>
    <mergeCell ref="K43:M43"/>
    <mergeCell ref="N43:O43"/>
    <mergeCell ref="P43:T43"/>
    <mergeCell ref="A42:D42"/>
    <mergeCell ref="E42:G42"/>
    <mergeCell ref="H42:J42"/>
    <mergeCell ref="K42:M42"/>
    <mergeCell ref="N42:O42"/>
    <mergeCell ref="P42:T42"/>
    <mergeCell ref="A45:D45"/>
    <mergeCell ref="E45:G45"/>
    <mergeCell ref="H45:J45"/>
    <mergeCell ref="K45:M45"/>
    <mergeCell ref="N45:O45"/>
    <mergeCell ref="P45:T45"/>
    <mergeCell ref="A44:D44"/>
    <mergeCell ref="E44:G44"/>
    <mergeCell ref="H44:J44"/>
    <mergeCell ref="K44:M44"/>
    <mergeCell ref="N44:O44"/>
    <mergeCell ref="P44:T44"/>
    <mergeCell ref="A47:D47"/>
    <mergeCell ref="E47:G47"/>
    <mergeCell ref="H47:J47"/>
    <mergeCell ref="K47:M47"/>
    <mergeCell ref="N47:O47"/>
    <mergeCell ref="P47:T47"/>
    <mergeCell ref="A46:D46"/>
    <mergeCell ref="E46:G46"/>
    <mergeCell ref="H46:J46"/>
    <mergeCell ref="K46:M46"/>
    <mergeCell ref="N46:O46"/>
    <mergeCell ref="P46:T46"/>
    <mergeCell ref="A49:D49"/>
    <mergeCell ref="E49:G49"/>
    <mergeCell ref="H49:J49"/>
    <mergeCell ref="K49:M49"/>
    <mergeCell ref="N49:O49"/>
    <mergeCell ref="P49:T49"/>
    <mergeCell ref="A48:D48"/>
    <mergeCell ref="E48:G48"/>
    <mergeCell ref="H48:J48"/>
    <mergeCell ref="K48:M48"/>
    <mergeCell ref="N48:O48"/>
    <mergeCell ref="P48:T48"/>
    <mergeCell ref="A51:D51"/>
    <mergeCell ref="E51:G51"/>
    <mergeCell ref="H51:J51"/>
    <mergeCell ref="K51:M51"/>
    <mergeCell ref="N51:O51"/>
    <mergeCell ref="P51:T51"/>
    <mergeCell ref="A50:D50"/>
    <mergeCell ref="E50:G50"/>
    <mergeCell ref="H50:J50"/>
    <mergeCell ref="K50:M50"/>
    <mergeCell ref="N50:O50"/>
    <mergeCell ref="P50:T50"/>
    <mergeCell ref="A53:D53"/>
    <mergeCell ref="E53:G53"/>
    <mergeCell ref="H53:J53"/>
    <mergeCell ref="K53:M53"/>
    <mergeCell ref="N53:O53"/>
    <mergeCell ref="P53:T53"/>
    <mergeCell ref="A52:D52"/>
    <mergeCell ref="E52:G52"/>
    <mergeCell ref="H52:J52"/>
    <mergeCell ref="K52:M52"/>
    <mergeCell ref="N52:O52"/>
    <mergeCell ref="P52:T52"/>
    <mergeCell ref="A55:D55"/>
    <mergeCell ref="E55:G55"/>
    <mergeCell ref="H55:J55"/>
    <mergeCell ref="K55:M55"/>
    <mergeCell ref="N55:O55"/>
    <mergeCell ref="P55:T55"/>
    <mergeCell ref="A54:D54"/>
    <mergeCell ref="E54:G54"/>
    <mergeCell ref="H54:J54"/>
    <mergeCell ref="K54:M54"/>
    <mergeCell ref="N54:O54"/>
    <mergeCell ref="P54:T54"/>
    <mergeCell ref="A57:D57"/>
    <mergeCell ref="E57:G57"/>
    <mergeCell ref="H57:J57"/>
    <mergeCell ref="K57:M57"/>
    <mergeCell ref="N57:O57"/>
    <mergeCell ref="P57:T57"/>
    <mergeCell ref="A56:D56"/>
    <mergeCell ref="E56:G56"/>
    <mergeCell ref="H56:J56"/>
    <mergeCell ref="K56:M56"/>
    <mergeCell ref="N56:O56"/>
    <mergeCell ref="P56:T56"/>
    <mergeCell ref="A59:D59"/>
    <mergeCell ref="E59:G59"/>
    <mergeCell ref="H59:J59"/>
    <mergeCell ref="K59:M59"/>
    <mergeCell ref="N59:O59"/>
    <mergeCell ref="P59:T59"/>
    <mergeCell ref="A58:D58"/>
    <mergeCell ref="E58:G58"/>
    <mergeCell ref="H58:J58"/>
    <mergeCell ref="K58:M58"/>
    <mergeCell ref="N58:O58"/>
    <mergeCell ref="P58:T58"/>
    <mergeCell ref="A61:D61"/>
    <mergeCell ref="E61:G61"/>
    <mergeCell ref="H61:J61"/>
    <mergeCell ref="K61:M61"/>
    <mergeCell ref="N61:O61"/>
    <mergeCell ref="P61:T61"/>
    <mergeCell ref="A60:D60"/>
    <mergeCell ref="E60:G60"/>
    <mergeCell ref="H60:J60"/>
    <mergeCell ref="K60:M60"/>
    <mergeCell ref="N60:O60"/>
    <mergeCell ref="P60:T60"/>
    <mergeCell ref="A63:D63"/>
    <mergeCell ref="E63:G63"/>
    <mergeCell ref="H63:J63"/>
    <mergeCell ref="K63:M63"/>
    <mergeCell ref="N63:O63"/>
    <mergeCell ref="P63:T63"/>
    <mergeCell ref="A62:D62"/>
    <mergeCell ref="E62:G62"/>
    <mergeCell ref="H62:J62"/>
    <mergeCell ref="K62:M62"/>
    <mergeCell ref="N62:O62"/>
    <mergeCell ref="P62:T62"/>
    <mergeCell ref="A65:D65"/>
    <mergeCell ref="E65:G65"/>
    <mergeCell ref="H65:J65"/>
    <mergeCell ref="K65:M65"/>
    <mergeCell ref="N65:O65"/>
    <mergeCell ref="P65:T65"/>
    <mergeCell ref="A64:D64"/>
    <mergeCell ref="E64:G64"/>
    <mergeCell ref="H64:J64"/>
    <mergeCell ref="K64:M64"/>
    <mergeCell ref="N64:O64"/>
    <mergeCell ref="P64:T64"/>
    <mergeCell ref="A67:D67"/>
    <mergeCell ref="E67:G67"/>
    <mergeCell ref="H67:J67"/>
    <mergeCell ref="K67:M67"/>
    <mergeCell ref="N67:O67"/>
    <mergeCell ref="P67:T67"/>
    <mergeCell ref="A66:D66"/>
    <mergeCell ref="E66:G66"/>
    <mergeCell ref="H66:J66"/>
    <mergeCell ref="K66:M66"/>
    <mergeCell ref="N66:O66"/>
    <mergeCell ref="P66:T66"/>
    <mergeCell ref="E69:G69"/>
    <mergeCell ref="H69:J69"/>
    <mergeCell ref="K69:M69"/>
    <mergeCell ref="N69:O69"/>
    <mergeCell ref="P69:T69"/>
    <mergeCell ref="A68:D68"/>
    <mergeCell ref="E68:G68"/>
    <mergeCell ref="H68:J68"/>
    <mergeCell ref="K68:M68"/>
    <mergeCell ref="N68:O68"/>
    <mergeCell ref="P68:T68"/>
    <mergeCell ref="A78:D78"/>
    <mergeCell ref="E78:G78"/>
    <mergeCell ref="H78:J78"/>
    <mergeCell ref="K78:M78"/>
    <mergeCell ref="N78:O78"/>
    <mergeCell ref="P78:T78"/>
    <mergeCell ref="A77:D77"/>
    <mergeCell ref="E77:G77"/>
    <mergeCell ref="H77:J77"/>
    <mergeCell ref="K77:M77"/>
    <mergeCell ref="N77:O77"/>
    <mergeCell ref="P77:T77"/>
    <mergeCell ref="A80:D80"/>
    <mergeCell ref="E80:G80"/>
    <mergeCell ref="H80:J80"/>
    <mergeCell ref="K80:M80"/>
    <mergeCell ref="N80:O80"/>
    <mergeCell ref="P80:T80"/>
    <mergeCell ref="A79:D79"/>
    <mergeCell ref="E79:G79"/>
    <mergeCell ref="H79:J79"/>
    <mergeCell ref="K79:M79"/>
    <mergeCell ref="N79:O79"/>
    <mergeCell ref="P79:T79"/>
    <mergeCell ref="A82:D82"/>
    <mergeCell ref="E82:G82"/>
    <mergeCell ref="H82:J82"/>
    <mergeCell ref="K82:M82"/>
    <mergeCell ref="N82:O82"/>
    <mergeCell ref="P82:T82"/>
    <mergeCell ref="A81:D81"/>
    <mergeCell ref="E81:G81"/>
    <mergeCell ref="H81:J81"/>
    <mergeCell ref="K81:M81"/>
    <mergeCell ref="N81:O81"/>
    <mergeCell ref="P81:T81"/>
    <mergeCell ref="A84:D84"/>
    <mergeCell ref="E84:G84"/>
    <mergeCell ref="H84:J84"/>
    <mergeCell ref="K84:M84"/>
    <mergeCell ref="N84:O84"/>
    <mergeCell ref="P84:T84"/>
    <mergeCell ref="A83:D83"/>
    <mergeCell ref="E83:G83"/>
    <mergeCell ref="H83:J83"/>
    <mergeCell ref="K83:M83"/>
    <mergeCell ref="N83:O83"/>
    <mergeCell ref="P83:T83"/>
    <mergeCell ref="A86:D86"/>
    <mergeCell ref="E86:G86"/>
    <mergeCell ref="H86:J86"/>
    <mergeCell ref="K86:M86"/>
    <mergeCell ref="N86:O86"/>
    <mergeCell ref="P86:T86"/>
    <mergeCell ref="A85:D85"/>
    <mergeCell ref="E85:G85"/>
    <mergeCell ref="H85:J85"/>
    <mergeCell ref="K85:M85"/>
    <mergeCell ref="N85:O85"/>
    <mergeCell ref="P85:T85"/>
    <mergeCell ref="A88:D88"/>
    <mergeCell ref="E88:G88"/>
    <mergeCell ref="H88:J88"/>
    <mergeCell ref="K88:M88"/>
    <mergeCell ref="N88:O88"/>
    <mergeCell ref="P88:T88"/>
    <mergeCell ref="A87:D87"/>
    <mergeCell ref="E87:G87"/>
    <mergeCell ref="H87:J87"/>
    <mergeCell ref="K87:M87"/>
    <mergeCell ref="N87:O87"/>
    <mergeCell ref="P87:T87"/>
    <mergeCell ref="A90:D90"/>
    <mergeCell ref="E90:G90"/>
    <mergeCell ref="H90:J90"/>
    <mergeCell ref="K90:M90"/>
    <mergeCell ref="N90:O90"/>
    <mergeCell ref="P90:T90"/>
    <mergeCell ref="A89:D89"/>
    <mergeCell ref="E89:G89"/>
    <mergeCell ref="H89:J89"/>
    <mergeCell ref="K89:M89"/>
    <mergeCell ref="N89:O89"/>
    <mergeCell ref="P89:T89"/>
    <mergeCell ref="A92:D92"/>
    <mergeCell ref="E92:G92"/>
    <mergeCell ref="H92:J92"/>
    <mergeCell ref="K92:M92"/>
    <mergeCell ref="N92:O92"/>
    <mergeCell ref="P92:T92"/>
    <mergeCell ref="A91:D91"/>
    <mergeCell ref="E91:G91"/>
    <mergeCell ref="H91:J91"/>
    <mergeCell ref="K91:M91"/>
    <mergeCell ref="N91:O91"/>
    <mergeCell ref="P91:T91"/>
    <mergeCell ref="A94:D94"/>
    <mergeCell ref="E94:G94"/>
    <mergeCell ref="H94:J94"/>
    <mergeCell ref="K94:M94"/>
    <mergeCell ref="N94:O94"/>
    <mergeCell ref="P94:T94"/>
    <mergeCell ref="A93:D93"/>
    <mergeCell ref="E93:G93"/>
    <mergeCell ref="H93:J93"/>
    <mergeCell ref="K93:M93"/>
    <mergeCell ref="N93:O93"/>
    <mergeCell ref="P93:T93"/>
    <mergeCell ref="A96:D96"/>
    <mergeCell ref="E96:G96"/>
    <mergeCell ref="H96:J96"/>
    <mergeCell ref="K96:M96"/>
    <mergeCell ref="N96:O96"/>
    <mergeCell ref="P96:T96"/>
    <mergeCell ref="A95:D95"/>
    <mergeCell ref="E95:G95"/>
    <mergeCell ref="H95:J95"/>
    <mergeCell ref="K95:M95"/>
    <mergeCell ref="N95:O95"/>
    <mergeCell ref="P95:T95"/>
    <mergeCell ref="A98:D98"/>
    <mergeCell ref="E98:G98"/>
    <mergeCell ref="H98:J98"/>
    <mergeCell ref="K98:M98"/>
    <mergeCell ref="N98:O98"/>
    <mergeCell ref="P98:T98"/>
    <mergeCell ref="A97:D97"/>
    <mergeCell ref="E97:G97"/>
    <mergeCell ref="H97:J97"/>
    <mergeCell ref="K97:M97"/>
    <mergeCell ref="N97:O97"/>
    <mergeCell ref="P97:T97"/>
    <mergeCell ref="A100:D100"/>
    <mergeCell ref="E100:G100"/>
    <mergeCell ref="H100:J100"/>
    <mergeCell ref="K100:M100"/>
    <mergeCell ref="N100:O100"/>
    <mergeCell ref="P100:T100"/>
    <mergeCell ref="A99:D99"/>
    <mergeCell ref="E99:G99"/>
    <mergeCell ref="H99:J99"/>
    <mergeCell ref="K99:M99"/>
    <mergeCell ref="N99:O99"/>
    <mergeCell ref="P99:T99"/>
    <mergeCell ref="A102:D102"/>
    <mergeCell ref="E102:G102"/>
    <mergeCell ref="H102:J102"/>
    <mergeCell ref="K102:M102"/>
    <mergeCell ref="N102:O102"/>
    <mergeCell ref="P102:T102"/>
    <mergeCell ref="A101:D101"/>
    <mergeCell ref="E101:G101"/>
    <mergeCell ref="H101:J101"/>
    <mergeCell ref="K101:M101"/>
    <mergeCell ref="N101:O101"/>
    <mergeCell ref="P101:T101"/>
    <mergeCell ref="A104:D104"/>
    <mergeCell ref="E104:G104"/>
    <mergeCell ref="H104:J104"/>
    <mergeCell ref="K104:M104"/>
    <mergeCell ref="N104:O104"/>
    <mergeCell ref="P104:T104"/>
    <mergeCell ref="A103:D103"/>
    <mergeCell ref="E103:G103"/>
    <mergeCell ref="H103:J103"/>
    <mergeCell ref="K103:M103"/>
    <mergeCell ref="N103:O103"/>
    <mergeCell ref="P103:T103"/>
    <mergeCell ref="A106:D106"/>
    <mergeCell ref="E106:G106"/>
    <mergeCell ref="H106:J106"/>
    <mergeCell ref="K106:M106"/>
    <mergeCell ref="N106:O106"/>
    <mergeCell ref="P106:T106"/>
    <mergeCell ref="A105:D105"/>
    <mergeCell ref="E105:G105"/>
    <mergeCell ref="H105:J105"/>
    <mergeCell ref="K105:M105"/>
    <mergeCell ref="N105:O105"/>
    <mergeCell ref="P105:T105"/>
    <mergeCell ref="A108:D108"/>
    <mergeCell ref="E108:G108"/>
    <mergeCell ref="H108:J108"/>
    <mergeCell ref="K108:M108"/>
    <mergeCell ref="N108:O108"/>
    <mergeCell ref="P108:T108"/>
    <mergeCell ref="A107:D107"/>
    <mergeCell ref="E107:G107"/>
    <mergeCell ref="H107:J107"/>
    <mergeCell ref="K107:M107"/>
    <mergeCell ref="N107:O107"/>
    <mergeCell ref="P107:T107"/>
    <mergeCell ref="A110:D110"/>
    <mergeCell ref="E110:G110"/>
    <mergeCell ref="H110:J110"/>
    <mergeCell ref="K110:M110"/>
    <mergeCell ref="N110:O110"/>
    <mergeCell ref="P110:T110"/>
    <mergeCell ref="A109:D109"/>
    <mergeCell ref="E109:G109"/>
    <mergeCell ref="H109:J109"/>
    <mergeCell ref="K109:M109"/>
    <mergeCell ref="N109:O109"/>
    <mergeCell ref="P109:T109"/>
    <mergeCell ref="A112:D112"/>
    <mergeCell ref="E112:G112"/>
    <mergeCell ref="H112:J112"/>
    <mergeCell ref="K112:M112"/>
    <mergeCell ref="N112:O112"/>
    <mergeCell ref="P112:T112"/>
    <mergeCell ref="A111:D111"/>
    <mergeCell ref="E111:G111"/>
    <mergeCell ref="H111:J111"/>
    <mergeCell ref="K111:M111"/>
    <mergeCell ref="N111:O111"/>
    <mergeCell ref="P111:T111"/>
    <mergeCell ref="A19:D19"/>
    <mergeCell ref="A22:D22"/>
    <mergeCell ref="E19:G19"/>
    <mergeCell ref="E22:G22"/>
    <mergeCell ref="H19:J19"/>
    <mergeCell ref="H22:J22"/>
    <mergeCell ref="A20:D20"/>
    <mergeCell ref="E20:G20"/>
    <mergeCell ref="H20:J20"/>
    <mergeCell ref="A21:D21"/>
    <mergeCell ref="K19:M19"/>
    <mergeCell ref="K22:M22"/>
    <mergeCell ref="N19:O19"/>
    <mergeCell ref="N22:O22"/>
    <mergeCell ref="P19:T19"/>
    <mergeCell ref="P22:T22"/>
    <mergeCell ref="K20:M20"/>
    <mergeCell ref="N20:O20"/>
    <mergeCell ref="P20:T20"/>
    <mergeCell ref="P71:T71"/>
    <mergeCell ref="A72:D72"/>
    <mergeCell ref="E72:G72"/>
    <mergeCell ref="H72:J72"/>
    <mergeCell ref="K72:M72"/>
    <mergeCell ref="N72:O72"/>
    <mergeCell ref="P72:T72"/>
    <mergeCell ref="E21:G21"/>
    <mergeCell ref="H21:J21"/>
    <mergeCell ref="K21:M21"/>
    <mergeCell ref="N21:O21"/>
    <mergeCell ref="P21:T21"/>
    <mergeCell ref="A71:D71"/>
    <mergeCell ref="E71:G71"/>
    <mergeCell ref="H71:J71"/>
    <mergeCell ref="K71:M71"/>
    <mergeCell ref="N71:O71"/>
    <mergeCell ref="A70:D70"/>
    <mergeCell ref="E70:G70"/>
    <mergeCell ref="H70:J70"/>
    <mergeCell ref="K70:M70"/>
    <mergeCell ref="N70:O70"/>
    <mergeCell ref="P70:T70"/>
    <mergeCell ref="A69:D69"/>
    <mergeCell ref="A74:D74"/>
    <mergeCell ref="E74:G74"/>
    <mergeCell ref="H74:J74"/>
    <mergeCell ref="K74:M74"/>
    <mergeCell ref="N74:O74"/>
    <mergeCell ref="P74:T74"/>
    <mergeCell ref="A73:D73"/>
    <mergeCell ref="E73:G73"/>
    <mergeCell ref="H73:J73"/>
    <mergeCell ref="K73:M73"/>
    <mergeCell ref="N73:O73"/>
    <mergeCell ref="P73:T73"/>
    <mergeCell ref="A76:D76"/>
    <mergeCell ref="E76:G76"/>
    <mergeCell ref="H76:J76"/>
    <mergeCell ref="K76:M76"/>
    <mergeCell ref="N76:O76"/>
    <mergeCell ref="P76:T76"/>
    <mergeCell ref="A75:D75"/>
    <mergeCell ref="E75:G75"/>
    <mergeCell ref="H75:J75"/>
    <mergeCell ref="K75:M75"/>
    <mergeCell ref="N75:O75"/>
    <mergeCell ref="P75:T7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 U</dc:creator>
  <cp:lastModifiedBy>Jash Patel</cp:lastModifiedBy>
  <dcterms:created xsi:type="dcterms:W3CDTF">2022-02-28T14:11:09Z</dcterms:created>
  <dcterms:modified xsi:type="dcterms:W3CDTF">2022-03-24T19:40:30Z</dcterms:modified>
</cp:coreProperties>
</file>